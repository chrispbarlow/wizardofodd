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elmtron-my.sharepoint.com/personal/chris_telmtron_tech/Documents/Documents/"/>
    </mc:Choice>
  </mc:AlternateContent>
  <xr:revisionPtr revIDLastSave="1264" documentId="11_CA4478EF525776FF6E7C8CF459245E3F1409A343" xr6:coauthVersionLast="47" xr6:coauthVersionMax="47" xr10:uidLastSave="{5748E298-CAE2-4E5A-A28A-C91B04923D92}"/>
  <bookViews>
    <workbookView minimized="1" xWindow="9315" yWindow="0" windowWidth="19590" windowHeight="15420" xr2:uid="{00000000-000D-0000-FFFF-FFFF00000000}"/>
  </bookViews>
  <sheets>
    <sheet name="Shopping List" sheetId="1" r:id="rId1"/>
  </sheets>
  <definedNames>
    <definedName name="_xlnm._FilterDatabase" localSheetId="0" hidden="1">'Shopping List'!$A$7:$H$73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6" i="1"/>
  <c r="F24" i="1"/>
  <c r="E19" i="1"/>
  <c r="F19" i="1" s="1"/>
  <c r="F52" i="1"/>
  <c r="F51" i="1"/>
  <c r="F29" i="1"/>
  <c r="F15" i="1"/>
  <c r="F27" i="1"/>
  <c r="F60" i="1"/>
  <c r="F8" i="1"/>
  <c r="F9" i="1"/>
  <c r="F21" i="1"/>
  <c r="F34" i="1"/>
  <c r="F10" i="1"/>
  <c r="F35" i="1"/>
  <c r="F30" i="1"/>
  <c r="I4" i="1" s="1"/>
  <c r="F26" i="1"/>
  <c r="F48" i="1"/>
  <c r="F49" i="1"/>
  <c r="F50" i="1"/>
  <c r="F31" i="1"/>
  <c r="F11" i="1"/>
  <c r="F12" i="1"/>
  <c r="F22" i="1"/>
  <c r="F33" i="1"/>
  <c r="F13" i="1"/>
  <c r="F32" i="1"/>
  <c r="F47" i="1"/>
  <c r="F36" i="1"/>
  <c r="F20" i="1"/>
  <c r="F46" i="1"/>
  <c r="F14" i="1"/>
  <c r="F18" i="1"/>
  <c r="F28" i="1"/>
  <c r="F23" i="1"/>
  <c r="F37" i="1"/>
  <c r="F38" i="1"/>
  <c r="F40" i="1"/>
  <c r="F41" i="1"/>
  <c r="F42" i="1"/>
  <c r="F43" i="1"/>
  <c r="F25" i="1"/>
  <c r="F44" i="1"/>
  <c r="F45" i="1"/>
  <c r="F39" i="1"/>
  <c r="F61" i="1"/>
  <c r="F62" i="1"/>
  <c r="F63" i="1"/>
  <c r="F53" i="1"/>
  <c r="F54" i="1"/>
  <c r="F55" i="1"/>
  <c r="F56" i="1"/>
  <c r="F64" i="1"/>
  <c r="F65" i="1"/>
  <c r="F66" i="1"/>
  <c r="F57" i="1"/>
  <c r="F58" i="1"/>
  <c r="F59" i="1"/>
  <c r="F67" i="1"/>
  <c r="F68" i="1"/>
  <c r="F71" i="1"/>
  <c r="F69" i="1"/>
  <c r="F72" i="1"/>
  <c r="F73" i="1"/>
  <c r="I5" i="1" l="1"/>
  <c r="I3" i="1"/>
  <c r="I2" i="1"/>
  <c r="I1" i="1"/>
</calcChain>
</file>

<file path=xl/sharedStrings.xml><?xml version="1.0" encoding="utf-8"?>
<sst xmlns="http://schemas.openxmlformats.org/spreadsheetml/2006/main" count="343" uniqueCount="161">
  <si>
    <t>Supplier</t>
  </si>
  <si>
    <t>Part</t>
  </si>
  <si>
    <t>Qty</t>
  </si>
  <si>
    <t>Price</t>
  </si>
  <si>
    <t>Link</t>
  </si>
  <si>
    <t>Alfashop</t>
  </si>
  <si>
    <t>Dayco KTB716 Timing Belt Kit</t>
  </si>
  <si>
    <t>Trigger-Wheels</t>
  </si>
  <si>
    <t>1st Generation EDIS Spark Plug Lead Set</t>
  </si>
  <si>
    <t>https://trigger-wheels.com/store/contents/en-uk/p17.html</t>
  </si>
  <si>
    <t>Autodoc</t>
  </si>
  <si>
    <t>eBay</t>
  </si>
  <si>
    <t>https://www.alfashop.co.uk/shop_by/alfa/alfa-romeo-145-146</t>
  </si>
  <si>
    <t>UFI Oil Filter (3031001-145)</t>
  </si>
  <si>
    <t>https://www.alfashop.co.uk/products/3031001</t>
  </si>
  <si>
    <t>NGK BCP6ET Spark Plug</t>
  </si>
  <si>
    <t>https://www.alfashop.co.uk/products/ngkbcp6et-145</t>
  </si>
  <si>
    <t>Status</t>
  </si>
  <si>
    <t>NEED</t>
  </si>
  <si>
    <t>ORDERED</t>
  </si>
  <si>
    <t>RECEIVED</t>
  </si>
  <si>
    <t>Cost</t>
  </si>
  <si>
    <t>Category</t>
  </si>
  <si>
    <t>Engine</t>
  </si>
  <si>
    <t>NICE TO HAVE</t>
  </si>
  <si>
    <t>Safety</t>
  </si>
  <si>
    <t>Hedtec Rapido OF-S1 Open Face Motorsport Helmet Snell SA2010 Small 54~55cm</t>
  </si>
  <si>
    <t>Hedtec Rapido OF-S1 Open Face Motorsport Helmet Snell SA2010 Small 54~55cm | eBay UK</t>
  </si>
  <si>
    <t>Interior</t>
  </si>
  <si>
    <t>Electrics</t>
  </si>
  <si>
    <t>Polycarbonate panels (for door cards)</t>
  </si>
  <si>
    <t>Britshield 5x 4mm Clear Polycarbonate Greenhouse Roofing Sheets 610x1220mm UV | eBay UK</t>
  </si>
  <si>
    <t>Cooling</t>
  </si>
  <si>
    <t>Tuning</t>
  </si>
  <si>
    <t>Toughpad</t>
  </si>
  <si>
    <t>Panasonic Toughpad Tablet FZ-G1 MK4 i5 6th Gen 4GB RAM 256GB SSD Windows 10 | eBay UK</t>
  </si>
  <si>
    <t>Exterior</t>
  </si>
  <si>
    <t>VW Beetle FLOCKED LINED RUBBER SLIDING WINDOW CHANNEL UPTO 6 MM GLASS | eBay UK</t>
  </si>
  <si>
    <t>Window channel</t>
  </si>
  <si>
    <t>Engineers STAINLESS STEEL Metal Punched Perforated Strip Strap Roll 1M Metre | eBay UK</t>
  </si>
  <si>
    <t>Metal strap (pipe supports)</t>
  </si>
  <si>
    <t>Tools</t>
  </si>
  <si>
    <t>Heavy Duty Manual Tyre Bead Breaker Tool for Car Truck Workshop Garage Tools | eBay UK</t>
  </si>
  <si>
    <t>Tyre Bead breaker</t>
  </si>
  <si>
    <t>50m Automotive Cable Kit 1mm 16 Amp Car Boat Loom Auto Wire 50 Metres 10 X 5m | eBay UK</t>
  </si>
  <si>
    <t>Cable kit 16 Amp</t>
  </si>
  <si>
    <t>Valve cover gasket (left)</t>
  </si>
  <si>
    <t>Genuine AJUSA OEM Replacement Valve Cover Gasket Seal Left Side [11046400] | eBay UK</t>
  </si>
  <si>
    <t>Valve cover gasket (right)</t>
  </si>
  <si>
    <t>Genuine AJUSA OEM Replacement Valve Cover Gasket Seal Right Side [11046500] | eBay UK</t>
  </si>
  <si>
    <t>Sump gasket</t>
  </si>
  <si>
    <t>Hi-Flex 16mm² - 70mm² Battery / Starter / Inverter / Welding PVC Cable Wire | eBay UK</t>
  </si>
  <si>
    <t>40mm^2 Black cable 1m</t>
  </si>
  <si>
    <t>Hi-Flex 240 Amp 35mm² Battery / Starter / Inverter / Welding PVC Cable Wire | eBay UK</t>
  </si>
  <si>
    <t>35mm^2 Red cable 4m</t>
  </si>
  <si>
    <t>Suspension/Steering</t>
  </si>
  <si>
    <t>Front wheel bearing kit</t>
  </si>
  <si>
    <t>Front Wheel Bearing Kits Volkswagen Beetle Saloon 1968-1977 2 Piece Bearing Pair | eBay UK</t>
  </si>
  <si>
    <t>Clutch shaft fitting kit</t>
  </si>
  <si>
    <t>Clutch Operating Shaft Repair Kit VW Beetle Karmann Ghia Type 3 113198026A | eBay UK</t>
  </si>
  <si>
    <t>Wing beading</t>
  </si>
  <si>
    <t>Neon Green VW wing beading Empi 00-6737-0 Back 289 Beetle cal look | eBay UK</t>
  </si>
  <si>
    <t>Clutch Operating Shaft 20/18mm VW Beetle Karmann Ghia Type 3 113141701F | eBay UK</t>
  </si>
  <si>
    <t>Clutch operating shaft</t>
  </si>
  <si>
    <t>4 Way Stretch Car Van Boat Camper Lining Speaker Acoustic Trunk Bass Velour Trim | eBay UK</t>
  </si>
  <si>
    <t>Carpet lightweight 2x2m + glue</t>
  </si>
  <si>
    <t>FIBRE GLASS Polyester Resin Hardener Mat Repair Kit Box Set 250G BOLL | eBay UK</t>
  </si>
  <si>
    <t>Fibreglass repair kit</t>
  </si>
  <si>
    <t>Threaded Reducers/self tapping Thread Repair Inserts Nuts M3 M4 M5 M6 M8 M10 M12 | eBay UK</t>
  </si>
  <si>
    <t>Clutch Release Bearing fits VW BEETLE 1.2 1.3 1.6 60 to 03 AS LuK 088141165 New | eBay UK</t>
  </si>
  <si>
    <t>Clutch release bearing</t>
  </si>
  <si>
    <t>Decklid trim</t>
  </si>
  <si>
    <t>VW Beetle 2 Piece Deck Lid Grill Trim - 1968-1979 113853692 | eBay UK</t>
  </si>
  <si>
    <t>Headlight trim (at least one)</t>
  </si>
  <si>
    <t>2x Shock Absorbers For VW Beetle Rear KYB Premium 113513031A 113513031C | eBay UK</t>
  </si>
  <si>
    <t>Injector rebuild kit</t>
  </si>
  <si>
    <t>Bosch EV1 Injector Rebuild Kit 0280150 Series - 4 Cylinder Kit | eBay UK</t>
  </si>
  <si>
    <t>Steering coupling (check existing)</t>
  </si>
  <si>
    <t>Beetle Steering Coupling Disc 1950 to 1979 Type 1 | eBay UK</t>
  </si>
  <si>
    <t>Ali Express</t>
  </si>
  <si>
    <t>Brakes</t>
  </si>
  <si>
    <t>Universal Front Brake Line Lock Kit BX101999</t>
  </si>
  <si>
    <t>Line lock kit</t>
  </si>
  <si>
    <t>28mm P clips x 10</t>
  </si>
  <si>
    <t>Oil pressure sender VDO</t>
  </si>
  <si>
    <t>1/8" NPT Oil Pressure Sensor Gear Oil Pressure Sensor 1/8-27 NPTF Thread Oil Pressure Sensor Sender Unit 0-10 Bar For VDO</t>
  </si>
  <si>
    <t>Master Cylinder</t>
  </si>
  <si>
    <t>Brake Master Cylinder for VW 181 70-73, Beetle 1500 66-73 Karmann GHIA 61-74 | eBay UK</t>
  </si>
  <si>
    <t>Front hose</t>
  </si>
  <si>
    <t>Classic Beetle Front Brake Hose | eBay UK</t>
  </si>
  <si>
    <t>Handbrake lever pins set</t>
  </si>
  <si>
    <t>Classic Aircooled VW Handbrake Lever Arm Pin And Clip Bundle Kit | eBay UK</t>
  </si>
  <si>
    <t>Shock bolt kit</t>
  </si>
  <si>
    <t>Exhaust hanger bracket</t>
  </si>
  <si>
    <t>Exhaust Pipe Universal Silencer Hanger Repair Bracket Mount 2.5" 60mm 63.5mm | eBay UK</t>
  </si>
  <si>
    <t>Floor pan hardware</t>
  </si>
  <si>
    <t>Classic VW Beetle Floor Pan Seal, Bolt And Washer Bundle Kit | eBay UK</t>
  </si>
  <si>
    <t>Rear Brake Drums, 4x130, Pair VW Type 3 311501615F Good Quality | eBay UK</t>
  </si>
  <si>
    <t>Shoe fitting kit</t>
  </si>
  <si>
    <t>BRAKE SHOE FITTING KIT VW T1 BEETLE FRONT 1302 &amp; 1303 MODELS A596 | eBay UK</t>
  </si>
  <si>
    <t>Front shocks</t>
  </si>
  <si>
    <t>Stainless Steel P-Type Pipe Clamps 15mm Bandwidth</t>
  </si>
  <si>
    <t>Reducer pipe, blue</t>
  </si>
  <si>
    <t>Reducer pipe, red</t>
  </si>
  <si>
    <t>Classic Beetle Front Shocks Shock Absorbers Pair | eBay UK</t>
  </si>
  <si>
    <t>For VW 73 Beetle Ball Joint Dust Cap Cover Boot - Large x 2 | eBay UK</t>
  </si>
  <si>
    <t>Ball joint boots x2</t>
  </si>
  <si>
    <t>Classic VW beetle rear Shock Absorber Bolt Kit | eBay UK</t>
  </si>
  <si>
    <t>Oil Drain Plug M22x1.5</t>
  </si>
  <si>
    <t>https://a.aliexpress.com/_EJ2MyNU</t>
  </si>
  <si>
    <t>90° Silicone Elbow Hose Reducer 13-48mm for Intercooler</t>
  </si>
  <si>
    <t>Red Blue Black Silicone Intercooler Hose 16-120mm</t>
  </si>
  <si>
    <t>Straight silicone pipe, 28mm 1m red</t>
  </si>
  <si>
    <t>Water Pump (4101011-145)</t>
  </si>
  <si>
    <t>Filtered</t>
  </si>
  <si>
    <t>Straight silicone pipe, 19mm 1m red</t>
  </si>
  <si>
    <t>Engine fitting</t>
  </si>
  <si>
    <t>Amazon</t>
  </si>
  <si>
    <t>Green paint</t>
  </si>
  <si>
    <t>https://amzn.eu/d/0eDM9J3E</t>
  </si>
  <si>
    <t>https://ebay.io/m/amipS2</t>
  </si>
  <si>
    <t xml:space="preserve">Gasket paper </t>
  </si>
  <si>
    <t>https://ebay.io/m/qArzdF</t>
  </si>
  <si>
    <t>Red Blue Black 4-layer Universal Straight Silicone Hose Intercooler Turbocharger Tube High Temperature And High Pressure 1 Meter - AliExpress 13</t>
  </si>
  <si>
    <t>16 mm blanking tube</t>
  </si>
  <si>
    <t>UXCELL Silicone Hose End Caps 6-40mm Black</t>
  </si>
  <si>
    <t>10 mm blanking tube</t>
  </si>
  <si>
    <t>https://ebay.io/m/8ba5l7</t>
  </si>
  <si>
    <t>Compression tester</t>
  </si>
  <si>
    <t xml:space="preserve">https://www.ebay.co.uk/itm/137494341435 </t>
  </si>
  <si>
    <t>Crimping tool</t>
  </si>
  <si>
    <t xml:space="preserve">https://www.ebay.co.uk/itm/800017629598 </t>
  </si>
  <si>
    <t>Engine oil 10W40 5 litres</t>
  </si>
  <si>
    <t xml:space="preserve">Safety </t>
  </si>
  <si>
    <t>Race Goggles</t>
  </si>
  <si>
    <t>https://ebay.io/m/fdnsgg</t>
  </si>
  <si>
    <t>https://amzn.eu/d/07pGDw5Y</t>
  </si>
  <si>
    <t>Type 3 rear drums</t>
  </si>
  <si>
    <t>82B0932 RIDEX Brake disc Front Axle, 277,9x9,5mm, 4x130, solid, Cast Iron for VW BEETLE TYPE 1, KARMANN GHIA, 1500/1600 | AUTODOC price and review</t>
  </si>
  <si>
    <t>Brake discs (check condition)</t>
  </si>
  <si>
    <t>240939 FRENKIT Repair Kit, brake caliper Rear Axle, Front Axle, Ø: 40 mm , Kit+Piston | AUTODOC price and review</t>
  </si>
  <si>
    <t>Caliper repair kit (check condition)</t>
  </si>
  <si>
    <t>https://www.ebay.co.uk/itm/165904861872?_trksid=p2332490.c101875.m1851&amp;itmprp=cksum%3A165904861872d4384405d82b44708fed3b378b3ee4c8%7Cenc%3AAQALAAABMM87TX5H0eTTsU0jhiGaG1EtQgE8jx9oVlixx3naPMyrOidPpEy2srdXZYwUdNOUcHMr7x989oIgC0y4irNgM6xKKrFhFLBqUqBVFrAGVpKMwseLLx7Z41aZA3w%252FbQeXP9bpvbKI7DX7xQOMGYZPkhCi8O4k3CU%252FBR6divh1pjGaYh7Me5WO1EPNICVObW34vScj1U1R4Q6oNiXQzOSB8Fom9U5hrSVrcVtpZBchsmi0EnAEW%252FXtk5pA9FYDhUlRfi9EfYqWLRqKBhrUsVbX4OM2BjmIRp4e6HnnDvy4TBfvssng2qoknzN6SJ3sJJIxoIvJFTdAl0VyWPQUrel3mkbPmalPGHVWbwZHfmuBYv7qfZrOI6WVx9GbjN8nkW7GWeVOaNMRuNTfwd0h8ZS8rEo%253D%7Campid%3APL_CLK%7Cclp%3A2332490&amp;itmmeta=01KXN7ZVR0FQCHZHV4KVMSXN0Y</t>
  </si>
  <si>
    <t>AVX10 Series Automotive Drive/Fan V Belts 10mm X 8mm - Dunlop / Medway Brand | eBay UK</t>
  </si>
  <si>
    <t>V-Belt</t>
  </si>
  <si>
    <t>Tie rod ends</t>
  </si>
  <si>
    <t>Classic VW Beetle 1968 on Track Tie Rod End Kit Set (2x inner and 2 x outer) | eBay UK</t>
  </si>
  <si>
    <t>Car Heater Coolant Rubber Hose SAEJ20 R3 Engine Rad Water Pipe Tube</t>
  </si>
  <si>
    <t>Car Heater Coolant Rubber Hose SAEJ20 R3 Engine Rad Water Pipe Tube | eBay UK</t>
  </si>
  <si>
    <t>Stainless Steel Straight Hose Joiner Barbed Connector Air Fuel Water Pipe Tubing</t>
  </si>
  <si>
    <t>https://www.aliexpress.com/item/1005005627384954.html?spm=a2g0o.cart.0.0.3d7e38daoj2ZQY&amp;mp=1&amp;pdp_npi=6%40dis%21GBP%21GBP%202.06%21GBP%201.69%21%21GBP%201.66%21%21%21%400b15832917853317076068226e0cee%2112000041679348440%21ct%21UK%216754845073%21%215%210%21</t>
  </si>
  <si>
    <t>CLASSIC SINGLE VINYL STICKER GLOSS BLACK &amp; SILVER CAR NUMBER PLATE SHOW PLATE | eBay UK</t>
  </si>
  <si>
    <t>CLASSIC SINGLE VINYL STICKER GLOSS BLACK &amp; SILVER CAR NUMBER PLATE SHOW PLATE</t>
  </si>
  <si>
    <t>VW Beetle US spec Sloping Headlamp Housing for Refurbishment. (no Glass Lens) | eBay UK</t>
  </si>
  <si>
    <t>M10 - M12 thread inserts</t>
  </si>
  <si>
    <t>M10 studs for engine</t>
  </si>
  <si>
    <t>Rear shocks pair</t>
  </si>
  <si>
    <t>T1 VW Beetle Brake Pad Set Two Pin 311698151B Classic Bug | eBay UK</t>
  </si>
  <si>
    <t>Front brake pads</t>
  </si>
  <si>
    <t>Classic VW Beetle Brake Pad Fitting Kit for 1302 1971-1972 models | eBay UK</t>
  </si>
  <si>
    <t>Brake pad fitting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</si>
</sst>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164" formatCode="\£#,##0.00"/>
    <numFmt numFmtId="165" formatCode="[$£-809]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  <xf numFmtId="0" fontId="3" fillId="0" borderId="0" xfId="1"/>
    <xf numFmtId="0" fontId="1" fillId="0" borderId="2" xfId="0" applyFont="1" applyBorder="1" applyAlignment="1">
      <alignment horizontal="center" vertical="top"/>
    </xf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44" fontId="0" fillId="0" borderId="0" xfId="2" applyFont="1" applyFill="1"/>
    <xf numFmtId="0" fontId="3" fillId="0" borderId="0" xfId="1" applyFill="1"/>
    <xf numFmtId="4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/>
    <xf numFmtId="8" fontId="0" fillId="0" borderId="0" xfId="2" applyNumberFormat="1" applyFont="1"/>
  </cellXfs>
  <cellStyles count="3">
    <cellStyle name="Currency" xfId="2" builtinId="4"/>
    <cellStyle name="Hyperlink" xfId="1" builtinId="8"/>
    <cellStyle name="Normal" xfId="0" builtinId="0"/>
  </cellStyles>
  <dxfs count="4"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bay.co.uk/itm/396873573261" TargetMode="External"/><Relationship Id="rId21" Type="http://schemas.openxmlformats.org/officeDocument/2006/relationships/hyperlink" Target="https://www.ebay.co.uk/itm/365454604457" TargetMode="External"/><Relationship Id="rId34" Type="http://schemas.openxmlformats.org/officeDocument/2006/relationships/hyperlink" Target="https://www.ebay.co.uk/itm/393033735876" TargetMode="External"/><Relationship Id="rId42" Type="http://schemas.openxmlformats.org/officeDocument/2006/relationships/hyperlink" Target="https://www.aliexpress.com/item/1005008518283025.html?spm=a2g0o.detail.pcDetailTopMoreOtherSeller.5.131eveQhveQh8E&amp;gps-id=pcDetailTopMoreOtherSeller&amp;scm=1007.40050.354490.0&amp;scm_id=1007.40050.354490.0&amp;scm-url=1007.40050.354490.0&amp;pvid=2688a6cb-42d3-455a-a044-d45c3a1b034a&amp;_t=gps-id%3ApcDetailTopMoreOtherSeller%2Cscm-url%3A1007.40050.354490.0%2Cpvid%3A2688a6cb-42d3-455a-a044-d45c3a1b034a%2Ctpp_buckets%3A668%232846%238108%231977&amp;pdp_ext_f=%7B%22order%22%3A%22269%22%2C%22eval%22%3A%221%22%2C%22sceneId%22%3A%2230050%22%2C%22fromPage%22%3A%22recommend%22%7D&amp;pdp_npi=6%40dis%21GBP%2115.46%218.19%21%21%21135.96%2172.06%21%402103962917833263787338751e1181%2112000045527244591%21rec%21UK%216754845073%21X%211%210%21n_tag%3A-29919%3Bd%3A28c2ef7a%3Bm03_new_user%3A-29895&amp;utparam-url=scene%3ApcDetailTopMoreOtherSeller%7Cquery_from%3A%7Cx_object_id%3A1005008518283025%7C_p_origin_prod%3A" TargetMode="External"/><Relationship Id="rId47" Type="http://schemas.openxmlformats.org/officeDocument/2006/relationships/hyperlink" Target="https://www.aliexpress.com/item/1005009779729261.html?spm=a2g0o.order_list.order_list_main.4.21ef1802IPZ5hc" TargetMode="External"/><Relationship Id="rId50" Type="http://schemas.openxmlformats.org/officeDocument/2006/relationships/hyperlink" Target="https://ebay.io/m/8ba5l7" TargetMode="External"/><Relationship Id="rId55" Type="http://schemas.openxmlformats.org/officeDocument/2006/relationships/hyperlink" Target="https://www.ebay.co.uk/itm/185922082998" TargetMode="External"/><Relationship Id="rId63" Type="http://schemas.openxmlformats.org/officeDocument/2006/relationships/hyperlink" Target="https://www.ebay.co.uk/itm/236559448623?_skw=beetle+sloping+headlight+trim&amp;itmmeta=01KYQBJQFVSM35F00JM5J0JEFC&amp;hash=item37140aba2f:g:WjYAAeSwlJ9pHjcm&amp;itmprp=enc%3AAQALAAAA4GfYFPkwiKCW4ZNSs2u11xCDSvmgVUHPL1PNZHXA%2FwWjx8CfyC5LZLoKRy5Jun%2FxzBRntb%2FWuhxrO8yiGqhQR12TIhvn26JUpeLxRR6QaUd0GeD11JTIsLHAqRRDV4XYCRHJ8KS3FgO%2BOtxFQpfz3llVF6MsR%2FBtk1hUjxA70PhY%2FnTNMwv4RbM%2BcO2FCse9nnYDwBkDYZxUY9dxe2q1Na9HRIVa40EuWlOKgij51o5yl8jN5kyA4E6lBWWq1oRYTJ64QwmC2LvUJWVnAMekfvVrVQj6v6VU5ieE9OM12lyA%7Ctkp%3ABk9SR5z4yuv1Zw" TargetMode="External"/><Relationship Id="rId7" Type="http://schemas.openxmlformats.org/officeDocument/2006/relationships/hyperlink" Target="https://www.ebay.co.uk/itm/267593773219" TargetMode="External"/><Relationship Id="rId2" Type="http://schemas.openxmlformats.org/officeDocument/2006/relationships/hyperlink" Target="https://www.alfashop.co.uk/products/ngkbcp6et-145" TargetMode="External"/><Relationship Id="rId16" Type="http://schemas.openxmlformats.org/officeDocument/2006/relationships/hyperlink" Target="https://www.ebay.co.uk/itm/234872673165" TargetMode="External"/><Relationship Id="rId29" Type="http://schemas.openxmlformats.org/officeDocument/2006/relationships/hyperlink" Target="https://www.ebay.co.uk/itm/185589868598" TargetMode="External"/><Relationship Id="rId11" Type="http://schemas.openxmlformats.org/officeDocument/2006/relationships/hyperlink" Target="https://www.ebay.co.uk/itm/185037818207" TargetMode="External"/><Relationship Id="rId24" Type="http://schemas.openxmlformats.org/officeDocument/2006/relationships/hyperlink" Target="https://www.ebay.co.uk/itm/165486326028?var=465037110911" TargetMode="External"/><Relationship Id="rId32" Type="http://schemas.openxmlformats.org/officeDocument/2006/relationships/hyperlink" Target="https://www.ebay.co.uk/itm/188207170525" TargetMode="External"/><Relationship Id="rId37" Type="http://schemas.openxmlformats.org/officeDocument/2006/relationships/hyperlink" Target="https://www.ebay.co.uk/itm/227196621311" TargetMode="External"/><Relationship Id="rId40" Type="http://schemas.openxmlformats.org/officeDocument/2006/relationships/hyperlink" Target="https://www.ebay.co.uk/itm/184619384106?_trksid=p2332490.c101196.m2219&amp;itmprp=cksum%3A18461938410654de79ee8bd5455fba8e54b03be89c05%7Cenc%3AAQALAAABYPc4YgTWUogX4l4Wo4r6rbj89PpwuaernzlZ%252BQ9Jflnere4td0FNO7ZUFpdCZ5W1PHVcKr90xHJ8HZYqTb2OAMqpJmPfQb42ATbkA3%252F%252B2uHBZ%252FYS0K3D8IU17hUyYNcxbIlqG%252FrH0utxChRg1mB7bHUVUy6gTEzE6qNyhx5Z%252BMTGEk5wPQcRCWum7m75mmchx2gusgNLN%252B%252FDzy%252Bi5UuqhL1GX8%252Fof9HInbYrY5dw5htNAvLWYx7%252BAx65r%252FplEMZM5FwupPyBBdfPIwxWepzdDYZcJL%252FahMB2QdhWX1XvEus9QWU66LfXaGUt8hQlRPZ0TD28esvpdhdJZgIOuQAo6WaIQw4y%252FLY1n2tSY%252BhXROb1XY3dy67aTHP6khWYuHznPG6Chm5YLsSc2V9xGqmo4jj9F9bpuwQk5ekqW2bCHszCxKV1ZrRIGkHTnNgxM7kmz2KE7EZqGl4Kmej1AIiJyLo%253D%7Campid%3APL_CLK%7Cclp%3A2332490&amp;itmmeta=01KWM892T4ZSRF5BH9Y6VMK2EB" TargetMode="External"/><Relationship Id="rId45" Type="http://schemas.openxmlformats.org/officeDocument/2006/relationships/hyperlink" Target="https://amzn.eu/d/0eDM9J3E" TargetMode="External"/><Relationship Id="rId53" Type="http://schemas.openxmlformats.org/officeDocument/2006/relationships/hyperlink" Target="https://amzn.eu/d/07pGDw5Y" TargetMode="External"/><Relationship Id="rId58" Type="http://schemas.openxmlformats.org/officeDocument/2006/relationships/hyperlink" Target="https://www.ebay.co.uk/itm/364672515772" TargetMode="External"/><Relationship Id="rId5" Type="http://schemas.openxmlformats.org/officeDocument/2006/relationships/hyperlink" Target="https://www.alfashop.co.uk/shop_by/alfa/alfa-romeo-145-146" TargetMode="External"/><Relationship Id="rId61" Type="http://schemas.openxmlformats.org/officeDocument/2006/relationships/hyperlink" Target="https://www.ebay.co.uk/itm/193558133837?var=493779376813" TargetMode="External"/><Relationship Id="rId19" Type="http://schemas.openxmlformats.org/officeDocument/2006/relationships/hyperlink" Target="https://www.ebay.co.uk/itm/304974154748" TargetMode="External"/><Relationship Id="rId14" Type="http://schemas.openxmlformats.org/officeDocument/2006/relationships/hyperlink" Target="https://www.ebay.co.uk/itm/232909090130" TargetMode="External"/><Relationship Id="rId22" Type="http://schemas.openxmlformats.org/officeDocument/2006/relationships/hyperlink" Target="https://www.ebay.co.uk/itm/124298708079?var=425193004134" TargetMode="External"/><Relationship Id="rId27" Type="http://schemas.openxmlformats.org/officeDocument/2006/relationships/hyperlink" Target="https://www.ebay.co.uk/itm/296376179942" TargetMode="External"/><Relationship Id="rId30" Type="http://schemas.openxmlformats.org/officeDocument/2006/relationships/hyperlink" Target="https://www.aliexpress.com/item/1005001651547619.html?spm=a2g0o.productlist.main.1.15c2a6257pQv2Z&amp;algo_pvid=e4181da6-793c-4260-b588-eab37fdae66b&amp;algo_exp_id=e4181da6-793c-4260-b588-eab37fdae66b-0&amp;pdp_ext_f=%7B%22order%22%3A%2235%22%2C%22spu_best_type%22%3A%22price%22%2C%22eval%22%3A%221%22%2C%22fromPage%22%3A%22search%22%7D&amp;pdp_npi=6%40dis%21GBP%2128.15%2116.89%21%21%2136.51%2121.91%21%40211b65de17830870698145082ea158%2112000016985518017%21sea%21UK%216754845073%21X%211%210%21n_tag%3A-29919%3Bd%3A28c2ef7a%3Bm03_new_user%3A-29895&amp;curPageLogUid=TSd36B2kvmDS&amp;utparam-url=scene%3Asearch%7Cquery_from%3A%7Cx_object_id%3A1005001651547619%7C_p_origin_prod%3A" TargetMode="External"/><Relationship Id="rId35" Type="http://schemas.openxmlformats.org/officeDocument/2006/relationships/hyperlink" Target="https://www.ebay.co.uk/itm/291204542062" TargetMode="External"/><Relationship Id="rId43" Type="http://schemas.openxmlformats.org/officeDocument/2006/relationships/hyperlink" Target="https://www.aliexpress.com/item/1005008518283025.html?spm=a2g0o.detail.pcDetailTopMoreOtherSeller.5.131eveQhveQh8E&amp;gps-id=pcDetailTopMoreOtherSeller&amp;scm=1007.40050.354490.0&amp;scm_id=1007.40050.354490.0&amp;scm-url=1007.40050.354490.0&amp;pvid=2688a6cb-42d3-455a-a044-d45c3a1b034a&amp;_t=gps-id%3ApcDetailTopMoreOtherSeller%2Cscm-url%3A1007.40050.354490.0%2Cpvid%3A2688a6cb-42d3-455a-a044-d45c3a1b034a%2Ctpp_buckets%3A668%232846%238108%231977&amp;pdp_ext_f=%7B%22order%22%3A%22269%22%2C%22eval%22%3A%221%22%2C%22sceneId%22%3A%2230050%22%2C%22fromPage%22%3A%22recommend%22%7D&amp;pdp_npi=6%40dis%21GBP%2115.46%218.19%21%21%21135.96%2172.06%21%402103962917833263787338751e1181%2112000045527244591%21rec%21UK%216754845073%21X%211%210%21n_tag%3A-29919%3Bd%3A28c2ef7a%3Bm03_new_user%3A-29895&amp;utparam-url=scene%3ApcDetailTopMoreOtherSeller%7Cquery_from%3A%7Cx_object_id%3A1005008518283025%7C_p_origin_prod%3A" TargetMode="External"/><Relationship Id="rId48" Type="http://schemas.openxmlformats.org/officeDocument/2006/relationships/hyperlink" Target="https://www.aliexpress.com/item/1005009253001732.html?spm=a2g0o.order_list.order_list_main.19.21ef1802IPZ5hc" TargetMode="External"/><Relationship Id="rId56" Type="http://schemas.openxmlformats.org/officeDocument/2006/relationships/hyperlink" Target="https://www.autodoc.co.uk/ridex/8040003" TargetMode="External"/><Relationship Id="rId64" Type="http://schemas.openxmlformats.org/officeDocument/2006/relationships/hyperlink" Target="https://www.ebay.co.uk/itm/127276020189?_skw=classic+beetle+front+brake+pads&amp;itmmeta=01KZV8KG00Y1NX9PKH9HSZ2XWK&amp;hash=item1da23df1dd:g:Y2UAAeSw239pnwiz&amp;itmprp=enc%3AAQALAAAA4GfYFPkwiKCW4ZNSs2u11xDvSKrSJS7bR6oaXGUtMPtvxrzojGJDph5H4SozuQiQDnrc%2BkGdXtNYlSUYbZkOzvwA8Z06230v5%2B8I1i64KYD6sebYuNZdOZ6fcmb0Bm8wI%2FOMaqC0JKvSAtvffdw83Ov9KVdMeGOwnhaxCyV0bKKOFIu--MgIKzX5B5BJUUZoKPSNblGhrVSpao%2FWHaza5nyOYgdDr3WpprluAUNAw%2FMivlVxgBdfYS0eHxavxKkis7Pm4hanzXlcBjA1ackId0SNzO3XkLxDNR7b3fW3%2FBpn%7Ctkp%3ABk9SR6iAzuj-Zw" TargetMode="External"/><Relationship Id="rId8" Type="http://schemas.openxmlformats.org/officeDocument/2006/relationships/hyperlink" Target="https://www.ebay.co.uk/itm/254798674246?var=556592211921" TargetMode="External"/><Relationship Id="rId51" Type="http://schemas.openxmlformats.org/officeDocument/2006/relationships/hyperlink" Target="https://www.ebay.co.uk/itm/137494341435" TargetMode="External"/><Relationship Id="rId3" Type="http://schemas.openxmlformats.org/officeDocument/2006/relationships/hyperlink" Target="https://www.alfashop.co.uk/products/3031001" TargetMode="External"/><Relationship Id="rId12" Type="http://schemas.openxmlformats.org/officeDocument/2006/relationships/hyperlink" Target="https://www.ebay.co.uk/itm/226909834959" TargetMode="External"/><Relationship Id="rId17" Type="http://schemas.openxmlformats.org/officeDocument/2006/relationships/hyperlink" Target="https://www.ebay.co.uk/itm/142796139227?var=441802778514" TargetMode="External"/><Relationship Id="rId25" Type="http://schemas.openxmlformats.org/officeDocument/2006/relationships/hyperlink" Target="https://www.ebay.co.uk/itm/336394701276" TargetMode="External"/><Relationship Id="rId33" Type="http://schemas.openxmlformats.org/officeDocument/2006/relationships/hyperlink" Target="https://www.ebay.co.uk/itm/376732370503" TargetMode="External"/><Relationship Id="rId38" Type="http://schemas.openxmlformats.org/officeDocument/2006/relationships/hyperlink" Target="https://www.aliexpress.com/item/1005010796265512.html?spm=a2g0o.cart.0.0.15bc38daKDQAUj&amp;mp=1&amp;pdp_npi=6%40dis%21GBP%21GBP+5.85%21GBP+5.79%21%21GBP+5.79%21%21%21%400b884b5817830887546015996e0f63%2112000053533637067%21ct%21UK%216754845073%21%211%210%21" TargetMode="External"/><Relationship Id="rId46" Type="http://schemas.openxmlformats.org/officeDocument/2006/relationships/hyperlink" Target="https://ebay.io/m/qArzdF" TargetMode="External"/><Relationship Id="rId59" Type="http://schemas.openxmlformats.org/officeDocument/2006/relationships/hyperlink" Target="https://www.ebay.co.uk/itm/255713076898?var=555648489624" TargetMode="External"/><Relationship Id="rId20" Type="http://schemas.openxmlformats.org/officeDocument/2006/relationships/hyperlink" Target="https://www.ebay.co.uk/itm/257452934131" TargetMode="External"/><Relationship Id="rId41" Type="http://schemas.openxmlformats.org/officeDocument/2006/relationships/hyperlink" Target="https://www.ebay.co.uk/itm/125608376468" TargetMode="External"/><Relationship Id="rId54" Type="http://schemas.openxmlformats.org/officeDocument/2006/relationships/hyperlink" Target="https://ebay.io/m/fdnsgg" TargetMode="External"/><Relationship Id="rId62" Type="http://schemas.openxmlformats.org/officeDocument/2006/relationships/hyperlink" Target="https://www.ebay.co.uk/itm/198055930138?_trksid=p4375194.c102727.m162921" TargetMode="External"/><Relationship Id="rId1" Type="http://schemas.openxmlformats.org/officeDocument/2006/relationships/hyperlink" Target="https://trigger-wheels.com/store/contents/en-uk/p17.html" TargetMode="External"/><Relationship Id="rId6" Type="http://schemas.openxmlformats.org/officeDocument/2006/relationships/hyperlink" Target="https://a.aliexpress.com/_EJ2MyNU" TargetMode="External"/><Relationship Id="rId15" Type="http://schemas.openxmlformats.org/officeDocument/2006/relationships/hyperlink" Target="https://www.ebay.co.uk/itm/232909090213" TargetMode="External"/><Relationship Id="rId23" Type="http://schemas.openxmlformats.org/officeDocument/2006/relationships/hyperlink" Target="https://www.ebay.co.uk/itm/315958675971" TargetMode="External"/><Relationship Id="rId28" Type="http://schemas.openxmlformats.org/officeDocument/2006/relationships/hyperlink" Target="https://www.ebay.co.uk/itm/136629408147" TargetMode="External"/><Relationship Id="rId36" Type="http://schemas.openxmlformats.org/officeDocument/2006/relationships/hyperlink" Target="https://www.ebay.co.uk/itm/166006680157" TargetMode="External"/><Relationship Id="rId49" Type="http://schemas.openxmlformats.org/officeDocument/2006/relationships/hyperlink" Target="https://www.aliexpress.com/item/1005009253001732.html?spm=a2g0o.order_list.order_list_main.19.21ef1802IPZ5hc" TargetMode="External"/><Relationship Id="rId57" Type="http://schemas.openxmlformats.org/officeDocument/2006/relationships/hyperlink" Target="https://www.autodoc.co.uk/frenkit/7818084" TargetMode="External"/><Relationship Id="rId10" Type="http://schemas.openxmlformats.org/officeDocument/2006/relationships/hyperlink" Target="https://www.ebay.co.uk/itm/227290423326" TargetMode="External"/><Relationship Id="rId31" Type="http://schemas.openxmlformats.org/officeDocument/2006/relationships/hyperlink" Target="https://www.aliexpress.com/item/1005009811298522.html?spm=a2g0o.productlist.main.10.5ab95072XKg540&amp;algo_pvid=6358b0c9-3f17-4c94-904f-6f9521658faf&amp;algo_exp_id=6358b0c9-3f17-4c94-904f-6f9521658faf-9&amp;pdp_ext_f=%7B%22order%22%3A%22181%22%2C%22eval%22%3A%221%22%2C%22fromPage%22%3A%22search%22%7D&amp;pdp_npi=6%40dis%21GBP%2110.27%215.13%21%21%2190.36%2145.18%21%402103890917830876192731354eb3b5%2112000050246750971%21sea%21UK%216754845073%21X%211%210%21n_tag%3A-29919%3Bd%3A28c2ef7a%3Bm03_new_user%3A-29895&amp;curPageLogUid=FggcYH56eUjX&amp;utparam-url=scene%3Asearch%7Cquery_from%3A%7Cx_object_id%3A1005009811298522%7C_p_origin_prod%3A" TargetMode="External"/><Relationship Id="rId44" Type="http://schemas.openxmlformats.org/officeDocument/2006/relationships/hyperlink" Target="https://www.aliexpress.com/item/1005007809522424.html?spm=a2g0o.cart.0.0.1f6f38daiD0WTi&amp;mp=1&amp;pdp_npi=6%40dis%21GBP%21GBP+8.67%21GBP+5.52%21%21GBP+5.52%21%21%21%400b88ad2b17833271935108543e0fab%2112000042281394454%21ct%21UK%216754845073%21%211%210%21" TargetMode="External"/><Relationship Id="rId52" Type="http://schemas.openxmlformats.org/officeDocument/2006/relationships/hyperlink" Target="https://www.ebay.co.uk/itm/800017629598" TargetMode="External"/><Relationship Id="rId60" Type="http://schemas.openxmlformats.org/officeDocument/2006/relationships/hyperlink" Target="https://www.ebay.co.uk/itm/133477249864?_skw=beetle+track+rod+ends&amp;itmmeta=01KYMWXTF9S4CFJ15NC40WB70A&amp;hash=item1f13dd3348:g:9B0AAOSwZdhlKQj1&amp;itmprp=enc%3AAQALAAAA8GfYFPkwiKCW4ZNSs2u11xCI6Ytrpuydxp1DVB2zydkvoxNErXEZJ19HpS5V3%2Bx9FojgynccXT6DFdha%2FLofDpmkBLE%2B6NHsLnPV1ii%2BLeXpr8DNT618zguvz%2F9Mt98dNXF5QZkaTfWBqRpRCOBr5Qusr6DVMBr6GQpNvFdPmCbbHlCOwJhA7jJhqyVvZc%2BPx%2BP46jk7CTK6iXZtB5lsdHlvyPmj78omCwLQZica52IDE7UqUWSwciINR5jbKkHWMjsS%2FO22nEQqScfR%2FYiHhWygafKchRcOcn5prVhhQ9JzQrFaDlDznKJgTEuWD6ldfg%3D%3D%7Ctkp%3ABk9SR_in95z1Zw" TargetMode="External"/><Relationship Id="rId65" Type="http://schemas.openxmlformats.org/officeDocument/2006/relationships/hyperlink" Target="https://www.ebay.co.uk/itm/134925534201?_skw=classic+beetle+front+brake+pads&amp;itmmeta=01KZV8KFZZHZEDGNNCFDFNBY4M&amp;hash=item1f6a3043f9:g:pF8AAOSwi5Vlw2ap&amp;itmprp=enc%3AAQALAAABAGfYFPkwiKCW4ZNSs2u11xC8%2FdI0T6j0%2BpsdY3rNDX88dfMulpmOQJDJSrk%2BIZnN%2BGxD56eX7wOEhk2BvdVJKs%2BaVoqEnrmyEFjDwh3tRoQLhdbocLCak6gf7FC%2BrjEJS8o%2FXK0ka1TeHuWqeUdr66pigLnf9HznynFs5Srlrwjh8LYu4OKvdt%2BH%2F5WL%2BNNUre8n5810TFjmLfH7MOpuzqcJeknjP%2B1xVw%2FtkzIjkHoSIzDGROgN%2BRW%2BQbWhF4enyqOvZ9hVly9PqYxgHu%2BacGIbHMdUhxApC82PStYJsUWlwSr0t15RaVhc0OLi64bQLTD3TLscTL5mcs0nnouLtPY%3D%7Ctkp%3ABk9SR6iAzuj-Zw" TargetMode="External"/><Relationship Id="rId4" Type="http://schemas.openxmlformats.org/officeDocument/2006/relationships/hyperlink" Target="https://ebay.io/m/amipS2" TargetMode="External"/><Relationship Id="rId9" Type="http://schemas.openxmlformats.org/officeDocument/2006/relationships/hyperlink" Target="https://www.ebay.co.uk/itm/127905201100?_trksid=p2332490.c101196.m2219&amp;itmprp=cksum%3A1279052011001bb282a9d00e4ebda5ada5e8732dd4cd%7Cenc%3AAQALAAABYPc4YgTWUogX4l4Wo4r6rbj89PpwuaernzlZ%252BQ9Jflnere4td0FNO7ZUFpdCZ5W1PHVcKr90xHJ8HZYqTb2OAMqpJmPfQb42ATbkA3%252F%252B2uHBZ%252FYS0K3D8IU17hUyYNcxbIlqG%252FrH0utxChRg1mB7bHWuh23qbpE0obCZEbdwO6pPOjEEt0SDGtsLtwpNAX8k10V7g1CtKvyI7nZwJ1S4M2aMQxRtdTCFZcuIBXibNxgklVSsJ3qqrRgJPfz7mRIiSnc3TElBDJsHHXu44gU0D9JbUqiola4OxabNKPKq%252B2zAGgvG1kwfP964xjMPAPsTNha6LUUGegL9fPy8MkfwWIQzOjomVOByDuKGEBFztkHvwe0AoKHWWatsHsLE6nTYYNQFGhzdu8zx93rR2eVEC%252Fyb9apaNSx2AnFhxp9PqXp0ZFkhgnCKhYMQ0R6biXxJvvvVI1DOins5DssHGDdG8XA%253D%7Campid%3APL_CLK%7Cclp%3A2332490&amp;itmmeta=01KWM11FYA6K7HRRMBDDD8HY5T" TargetMode="External"/><Relationship Id="rId13" Type="http://schemas.openxmlformats.org/officeDocument/2006/relationships/hyperlink" Target="https://www.ebay.co.uk/itm/257396264398" TargetMode="External"/><Relationship Id="rId18" Type="http://schemas.openxmlformats.org/officeDocument/2006/relationships/hyperlink" Target="https://www.ebay.co.uk/itm/142942642849?var=441915824565" TargetMode="External"/><Relationship Id="rId39" Type="http://schemas.openxmlformats.org/officeDocument/2006/relationships/hyperlink" Target="https://www.ebay.co.uk/itm/277955983581?_skw=beetle+front+shocks&amp;itmmeta=01KWM7X952SC9TZTBKJF9J5RPJ&amp;hash=item40b777b8dd%3Ag%3A%7E3IAAeSwnxZp-JTk&amp;itmprp=enc%3AAQALAAAA0GfYFPkwiKCW4ZNSs2u11xDCjRSjULgNR98aIzJw1ITqAZUSZ%2FwVjJA%2Bj04Kf8L941u3xEUEDi9lHUnfEpRxy8cWUpwxjG7cAbmB2wgPgp%2Fk7V7WsDb11fKUlBrnkNIwoJmYB%2BconBYZFj2HU7VTyRDINv%2ByG%2FTomgc%2FOYruEhsfZy0NhYDfLpKWZOCijvPq4DIcXaqABZZyguXtm1ghyHuirYu6odhhQQjG3BU0xNf4pVXzxr8HcoW%2BU8rvcUXCxqNdzI9kvcT1avyS0JEmDfQ%3D%7Ctkp%3ABk9SR-CS9YflZw&amp;LH_ItemCondition=3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3"/>
  <sheetViews>
    <sheetView tabSelected="1" topLeftCell="B1" workbookViewId="0">
      <selection activeCell="G75" sqref="G75"/>
    </sheetView>
  </sheetViews>
  <sheetFormatPr defaultRowHeight="15" x14ac:dyDescent="0.25"/>
  <cols>
    <col min="1" max="1" width="17.5703125" bestFit="1" customWidth="1"/>
    <col min="2" max="2" width="19.7109375" bestFit="1" customWidth="1"/>
    <col min="3" max="3" width="72" bestFit="1" customWidth="1"/>
    <col min="4" max="4" width="8.7109375" bestFit="1" customWidth="1"/>
    <col min="5" max="5" width="9.85546875" style="6" customWidth="1"/>
    <col min="6" max="6" width="9.140625" customWidth="1"/>
    <col min="7" max="7" width="117.7109375" customWidth="1"/>
    <col min="8" max="8" width="13.42578125" customWidth="1"/>
    <col min="9" max="9" width="11.42578125" customWidth="1"/>
    <col min="10" max="10" width="13.7109375" bestFit="1" customWidth="1"/>
    <col min="11" max="11" width="12.42578125" customWidth="1"/>
    <col min="13" max="13" width="13.7109375" customWidth="1"/>
  </cols>
  <sheetData>
    <row r="1" spans="1:9" x14ac:dyDescent="0.25">
      <c r="H1" s="14" t="s">
        <v>114</v>
      </c>
      <c r="I1" s="13">
        <f>SUBTOTAL(109,$F$8:$F$80)</f>
        <v>670.3900000000001</v>
      </c>
    </row>
    <row r="2" spans="1:9" x14ac:dyDescent="0.25">
      <c r="E2" s="11"/>
      <c r="F2" s="12"/>
      <c r="H2" t="s">
        <v>18</v>
      </c>
      <c r="I2" s="12">
        <f>SUMIFS($F7:$F81,$H7:$H81,H2)</f>
        <v>463.64</v>
      </c>
    </row>
    <row r="3" spans="1:9" x14ac:dyDescent="0.25">
      <c r="E3" s="11"/>
      <c r="F3" s="13"/>
      <c r="H3" t="s">
        <v>24</v>
      </c>
      <c r="I3" s="12">
        <f>SUMIFS($F8:$F82,$H8:$H82,H3)</f>
        <v>275.59000000000003</v>
      </c>
    </row>
    <row r="4" spans="1:9" x14ac:dyDescent="0.25">
      <c r="E4"/>
      <c r="F4" s="11"/>
      <c r="H4" t="s">
        <v>19</v>
      </c>
      <c r="I4" s="12">
        <f>SUMIFS($F9:$F83,$H9:$H83,H4)</f>
        <v>166.17</v>
      </c>
    </row>
    <row r="5" spans="1:9" x14ac:dyDescent="0.25">
      <c r="E5" s="11"/>
      <c r="F5" s="12"/>
      <c r="H5" t="s">
        <v>20</v>
      </c>
      <c r="I5" s="12">
        <f>SUMIFS($F10:$F84,$H10:$H84,H5)</f>
        <v>584.149</v>
      </c>
    </row>
    <row r="6" spans="1:9" x14ac:dyDescent="0.25">
      <c r="H6" s="11"/>
    </row>
    <row r="7" spans="1:9" x14ac:dyDescent="0.25">
      <c r="A7" s="1" t="s">
        <v>0</v>
      </c>
      <c r="B7" s="1" t="s">
        <v>22</v>
      </c>
      <c r="C7" s="1" t="s">
        <v>1</v>
      </c>
      <c r="D7" s="1" t="s">
        <v>2</v>
      </c>
      <c r="E7" s="5" t="s">
        <v>3</v>
      </c>
      <c r="F7" s="1" t="s">
        <v>21</v>
      </c>
      <c r="G7" s="1" t="s">
        <v>4</v>
      </c>
      <c r="H7" s="4" t="s">
        <v>17</v>
      </c>
    </row>
    <row r="8" spans="1:9" x14ac:dyDescent="0.25">
      <c r="A8" t="s">
        <v>10</v>
      </c>
      <c r="B8" t="s">
        <v>80</v>
      </c>
      <c r="C8" t="s">
        <v>139</v>
      </c>
      <c r="D8">
        <v>2</v>
      </c>
      <c r="E8" s="6">
        <v>26.49</v>
      </c>
      <c r="F8" s="2">
        <f>D8*E8</f>
        <v>52.98</v>
      </c>
      <c r="G8" s="3" t="s">
        <v>138</v>
      </c>
      <c r="H8" t="s">
        <v>18</v>
      </c>
    </row>
    <row r="9" spans="1:9" x14ac:dyDescent="0.25">
      <c r="A9" t="s">
        <v>11</v>
      </c>
      <c r="B9" t="s">
        <v>80</v>
      </c>
      <c r="C9" t="s">
        <v>137</v>
      </c>
      <c r="D9">
        <v>1</v>
      </c>
      <c r="E9" s="6">
        <v>66.36</v>
      </c>
      <c r="F9" s="2">
        <f>D9*E9</f>
        <v>66.36</v>
      </c>
      <c r="G9" s="3" t="s">
        <v>97</v>
      </c>
      <c r="H9" t="s">
        <v>18</v>
      </c>
    </row>
    <row r="10" spans="1:9" x14ac:dyDescent="0.25">
      <c r="A10" t="s">
        <v>11</v>
      </c>
      <c r="B10" t="s">
        <v>80</v>
      </c>
      <c r="C10" t="s">
        <v>86</v>
      </c>
      <c r="D10">
        <v>1</v>
      </c>
      <c r="E10" s="6">
        <v>44.17</v>
      </c>
      <c r="F10" s="2">
        <f>D10*E10</f>
        <v>44.17</v>
      </c>
      <c r="G10" s="3" t="s">
        <v>87</v>
      </c>
      <c r="H10" t="s">
        <v>19</v>
      </c>
    </row>
    <row r="11" spans="1:9" x14ac:dyDescent="0.25">
      <c r="A11" t="s">
        <v>11</v>
      </c>
      <c r="B11" t="s">
        <v>80</v>
      </c>
      <c r="C11" t="s">
        <v>98</v>
      </c>
      <c r="D11">
        <v>1</v>
      </c>
      <c r="E11" s="6">
        <v>16.29</v>
      </c>
      <c r="F11" s="2">
        <f>D11*E11</f>
        <v>16.29</v>
      </c>
      <c r="G11" s="3" t="s">
        <v>99</v>
      </c>
      <c r="H11" t="s">
        <v>18</v>
      </c>
    </row>
    <row r="12" spans="1:9" x14ac:dyDescent="0.25">
      <c r="A12" t="s">
        <v>11</v>
      </c>
      <c r="B12" t="s">
        <v>80</v>
      </c>
      <c r="C12" t="s">
        <v>56</v>
      </c>
      <c r="D12">
        <v>1</v>
      </c>
      <c r="E12" s="7">
        <v>15.8</v>
      </c>
      <c r="F12" s="2">
        <f>D12*E12</f>
        <v>15.8</v>
      </c>
      <c r="G12" s="8" t="s">
        <v>57</v>
      </c>
      <c r="H12" t="s">
        <v>18</v>
      </c>
    </row>
    <row r="13" spans="1:9" x14ac:dyDescent="0.25">
      <c r="A13" t="s">
        <v>11</v>
      </c>
      <c r="B13" t="s">
        <v>80</v>
      </c>
      <c r="C13" t="s">
        <v>88</v>
      </c>
      <c r="D13">
        <v>1</v>
      </c>
      <c r="E13" s="6">
        <v>9</v>
      </c>
      <c r="F13" s="2">
        <f>D13*E13</f>
        <v>9</v>
      </c>
      <c r="G13" s="3" t="s">
        <v>89</v>
      </c>
      <c r="H13" t="s">
        <v>18</v>
      </c>
    </row>
    <row r="14" spans="1:9" x14ac:dyDescent="0.25">
      <c r="A14" t="s">
        <v>11</v>
      </c>
      <c r="B14" t="s">
        <v>80</v>
      </c>
      <c r="C14" t="s">
        <v>90</v>
      </c>
      <c r="D14">
        <v>1</v>
      </c>
      <c r="E14" s="6">
        <v>5.5</v>
      </c>
      <c r="F14" s="2">
        <f>D14*E14</f>
        <v>5.5</v>
      </c>
      <c r="G14" s="3" t="s">
        <v>91</v>
      </c>
      <c r="H14" t="s">
        <v>18</v>
      </c>
    </row>
    <row r="15" spans="1:9" x14ac:dyDescent="0.25">
      <c r="A15" t="s">
        <v>10</v>
      </c>
      <c r="B15" t="s">
        <v>80</v>
      </c>
      <c r="C15" t="s">
        <v>141</v>
      </c>
      <c r="D15">
        <v>1</v>
      </c>
      <c r="E15" s="6">
        <v>29.99</v>
      </c>
      <c r="F15" s="2">
        <f>D15*E15</f>
        <v>29.99</v>
      </c>
      <c r="G15" s="3" t="s">
        <v>140</v>
      </c>
      <c r="H15" t="s">
        <v>18</v>
      </c>
    </row>
    <row r="16" spans="1:9" x14ac:dyDescent="0.25">
      <c r="A16" t="s">
        <v>11</v>
      </c>
      <c r="B16" t="s">
        <v>80</v>
      </c>
      <c r="C16" t="s">
        <v>158</v>
      </c>
      <c r="D16">
        <v>1</v>
      </c>
      <c r="E16" s="15">
        <v>16.5</v>
      </c>
      <c r="F16" s="2">
        <f>D16*E16</f>
        <v>16.5</v>
      </c>
      <c r="G16" s="3" t="s">
        <v>157</v>
      </c>
      <c r="H16" t="s">
        <v>18</v>
      </c>
    </row>
    <row r="17" spans="1:8" x14ac:dyDescent="0.25">
      <c r="A17" t="s">
        <v>11</v>
      </c>
      <c r="B17" t="s">
        <v>80</v>
      </c>
      <c r="C17" t="s">
        <v>160</v>
      </c>
      <c r="D17">
        <v>1</v>
      </c>
      <c r="E17" s="15">
        <v>8.4499999999999993</v>
      </c>
      <c r="F17" s="2">
        <f>D17*E17</f>
        <v>8.4499999999999993</v>
      </c>
      <c r="G17" s="3" t="s">
        <v>159</v>
      </c>
      <c r="H17" t="s">
        <v>18</v>
      </c>
    </row>
    <row r="18" spans="1:8" x14ac:dyDescent="0.25">
      <c r="A18" t="s">
        <v>79</v>
      </c>
      <c r="B18" t="s">
        <v>29</v>
      </c>
      <c r="C18" t="s">
        <v>84</v>
      </c>
      <c r="D18">
        <v>1</v>
      </c>
      <c r="E18" s="6">
        <v>5.13</v>
      </c>
      <c r="F18" s="2">
        <f>D18*E18</f>
        <v>5.13</v>
      </c>
      <c r="G18" s="3" t="s">
        <v>85</v>
      </c>
      <c r="H18" t="s">
        <v>24</v>
      </c>
    </row>
    <row r="19" spans="1:8" x14ac:dyDescent="0.25">
      <c r="A19" t="s">
        <v>11</v>
      </c>
      <c r="B19" t="s">
        <v>36</v>
      </c>
      <c r="C19" t="s">
        <v>73</v>
      </c>
      <c r="D19">
        <v>1</v>
      </c>
      <c r="E19" s="6">
        <f>17.5+6.1</f>
        <v>23.6</v>
      </c>
      <c r="F19" s="2">
        <f>D19*E19</f>
        <v>23.6</v>
      </c>
      <c r="G19" s="3" t="s">
        <v>153</v>
      </c>
      <c r="H19" t="s">
        <v>18</v>
      </c>
    </row>
    <row r="20" spans="1:8" x14ac:dyDescent="0.25">
      <c r="A20" t="s">
        <v>11</v>
      </c>
      <c r="B20" t="s">
        <v>36</v>
      </c>
      <c r="C20" t="s">
        <v>67</v>
      </c>
      <c r="D20">
        <v>1</v>
      </c>
      <c r="E20" s="6">
        <v>8.18</v>
      </c>
      <c r="F20" s="2">
        <f>D20*E20</f>
        <v>8.18</v>
      </c>
      <c r="G20" s="3" t="s">
        <v>66</v>
      </c>
      <c r="H20" t="s">
        <v>18</v>
      </c>
    </row>
    <row r="21" spans="1:8" x14ac:dyDescent="0.25">
      <c r="A21" t="s">
        <v>11</v>
      </c>
      <c r="B21" t="s">
        <v>28</v>
      </c>
      <c r="C21" t="s">
        <v>95</v>
      </c>
      <c r="D21">
        <v>1</v>
      </c>
      <c r="E21" s="6">
        <v>61.5</v>
      </c>
      <c r="F21" s="2">
        <f>D21*E21</f>
        <v>61.5</v>
      </c>
      <c r="G21" s="3" t="s">
        <v>96</v>
      </c>
      <c r="H21" t="s">
        <v>18</v>
      </c>
    </row>
    <row r="22" spans="1:8" hidden="1" x14ac:dyDescent="0.25">
      <c r="A22" t="s">
        <v>11</v>
      </c>
      <c r="B22" t="s">
        <v>116</v>
      </c>
      <c r="C22" t="s">
        <v>93</v>
      </c>
      <c r="D22">
        <v>1</v>
      </c>
      <c r="E22" s="6">
        <v>14.99</v>
      </c>
      <c r="F22" s="2">
        <f>D22*E22</f>
        <v>14.99</v>
      </c>
      <c r="G22" s="3" t="s">
        <v>94</v>
      </c>
      <c r="H22" t="s">
        <v>24</v>
      </c>
    </row>
    <row r="23" spans="1:8" hidden="1" x14ac:dyDescent="0.25">
      <c r="A23" t="s">
        <v>11</v>
      </c>
      <c r="B23" t="s">
        <v>116</v>
      </c>
      <c r="C23" t="s">
        <v>154</v>
      </c>
      <c r="D23">
        <v>4</v>
      </c>
      <c r="E23" s="6">
        <v>2.75</v>
      </c>
      <c r="F23" s="2">
        <f>D23*E23</f>
        <v>11</v>
      </c>
      <c r="G23" s="3" t="s">
        <v>68</v>
      </c>
      <c r="H23" t="s">
        <v>20</v>
      </c>
    </row>
    <row r="24" spans="1:8" hidden="1" x14ac:dyDescent="0.25">
      <c r="A24" t="s">
        <v>11</v>
      </c>
      <c r="B24" t="s">
        <v>116</v>
      </c>
      <c r="C24" t="s">
        <v>155</v>
      </c>
      <c r="D24">
        <v>1</v>
      </c>
      <c r="E24" s="6">
        <v>10.67</v>
      </c>
      <c r="F24" s="2">
        <f>D24*E24</f>
        <v>10.67</v>
      </c>
      <c r="G24" s="3" t="s">
        <v>127</v>
      </c>
      <c r="H24" t="s">
        <v>20</v>
      </c>
    </row>
    <row r="25" spans="1:8" x14ac:dyDescent="0.25">
      <c r="A25" t="s">
        <v>11</v>
      </c>
      <c r="B25" t="s">
        <v>25</v>
      </c>
      <c r="C25" t="s">
        <v>26</v>
      </c>
      <c r="D25">
        <v>1</v>
      </c>
      <c r="E25" s="6">
        <v>59.99</v>
      </c>
      <c r="F25" s="2">
        <f>D25*E25</f>
        <v>59.99</v>
      </c>
      <c r="G25" s="3" t="s">
        <v>27</v>
      </c>
      <c r="H25" t="s">
        <v>18</v>
      </c>
    </row>
    <row r="26" spans="1:8" hidden="1" x14ac:dyDescent="0.25">
      <c r="A26" t="s">
        <v>11</v>
      </c>
      <c r="B26" t="s">
        <v>36</v>
      </c>
      <c r="C26" t="s">
        <v>152</v>
      </c>
      <c r="D26">
        <v>2</v>
      </c>
      <c r="E26" s="6">
        <v>11.43</v>
      </c>
      <c r="F26" s="2">
        <f>D26*E26</f>
        <v>22.86</v>
      </c>
      <c r="G26" s="3" t="s">
        <v>151</v>
      </c>
      <c r="H26" t="s">
        <v>20</v>
      </c>
    </row>
    <row r="27" spans="1:8" x14ac:dyDescent="0.25">
      <c r="A27" t="s">
        <v>11</v>
      </c>
      <c r="B27" t="s">
        <v>133</v>
      </c>
      <c r="C27" t="s">
        <v>134</v>
      </c>
      <c r="D27">
        <v>1</v>
      </c>
      <c r="E27" s="6">
        <v>28.95</v>
      </c>
      <c r="F27" s="2">
        <f>D27*E27</f>
        <v>28.95</v>
      </c>
      <c r="G27" s="3" t="s">
        <v>135</v>
      </c>
      <c r="H27" t="s">
        <v>18</v>
      </c>
    </row>
    <row r="28" spans="1:8" x14ac:dyDescent="0.25">
      <c r="A28" t="s">
        <v>11</v>
      </c>
      <c r="B28" t="s">
        <v>55</v>
      </c>
      <c r="C28" t="s">
        <v>106</v>
      </c>
      <c r="D28">
        <v>2</v>
      </c>
      <c r="E28" s="6">
        <v>4.8</v>
      </c>
      <c r="F28" s="2">
        <f>D28*E28</f>
        <v>9.6</v>
      </c>
      <c r="G28" s="3" t="s">
        <v>105</v>
      </c>
      <c r="H28" t="s">
        <v>18</v>
      </c>
    </row>
    <row r="29" spans="1:8" x14ac:dyDescent="0.25">
      <c r="A29" t="s">
        <v>11</v>
      </c>
      <c r="B29" t="s">
        <v>55</v>
      </c>
      <c r="C29" t="s">
        <v>145</v>
      </c>
      <c r="D29">
        <v>1</v>
      </c>
      <c r="E29" s="6">
        <v>50.95</v>
      </c>
      <c r="F29" s="2">
        <f>D29*E29</f>
        <v>50.95</v>
      </c>
      <c r="G29" s="3" t="s">
        <v>146</v>
      </c>
      <c r="H29" t="s">
        <v>18</v>
      </c>
    </row>
    <row r="30" spans="1:8" x14ac:dyDescent="0.25">
      <c r="A30" t="s">
        <v>11</v>
      </c>
      <c r="B30" t="s">
        <v>29</v>
      </c>
      <c r="C30" t="s">
        <v>54</v>
      </c>
      <c r="D30">
        <v>1</v>
      </c>
      <c r="E30" s="6">
        <v>26.5</v>
      </c>
      <c r="F30" s="2">
        <f>D30*E30</f>
        <v>26.5</v>
      </c>
      <c r="G30" s="3" t="s">
        <v>53</v>
      </c>
      <c r="H30" t="s">
        <v>20</v>
      </c>
    </row>
    <row r="31" spans="1:8" x14ac:dyDescent="0.25">
      <c r="A31" t="s">
        <v>11</v>
      </c>
      <c r="B31" t="s">
        <v>29</v>
      </c>
      <c r="C31" t="s">
        <v>45</v>
      </c>
      <c r="D31">
        <v>1</v>
      </c>
      <c r="E31" s="6">
        <v>19.489999999999998</v>
      </c>
      <c r="F31" s="2">
        <f>D31*E31</f>
        <v>19.489999999999998</v>
      </c>
      <c r="G31" s="3" t="s">
        <v>44</v>
      </c>
      <c r="H31" t="s">
        <v>19</v>
      </c>
    </row>
    <row r="32" spans="1:8" x14ac:dyDescent="0.25">
      <c r="A32" t="s">
        <v>11</v>
      </c>
      <c r="B32" t="s">
        <v>29</v>
      </c>
      <c r="C32" t="s">
        <v>52</v>
      </c>
      <c r="D32">
        <v>1</v>
      </c>
      <c r="E32" s="6">
        <v>8.9499999999999993</v>
      </c>
      <c r="F32" s="2">
        <f>D32*E32</f>
        <v>8.9499999999999993</v>
      </c>
      <c r="G32" s="3" t="s">
        <v>51</v>
      </c>
      <c r="H32" t="s">
        <v>20</v>
      </c>
    </row>
    <row r="33" spans="1:8" hidden="1" x14ac:dyDescent="0.25">
      <c r="A33" t="s">
        <v>11</v>
      </c>
      <c r="B33" t="s">
        <v>55</v>
      </c>
      <c r="C33" t="s">
        <v>77</v>
      </c>
      <c r="D33">
        <v>1</v>
      </c>
      <c r="E33" s="6">
        <v>12.33</v>
      </c>
      <c r="F33" s="2">
        <f>D33*E33</f>
        <v>12.33</v>
      </c>
      <c r="G33" s="3" t="s">
        <v>78</v>
      </c>
      <c r="H33" t="s">
        <v>24</v>
      </c>
    </row>
    <row r="34" spans="1:8" x14ac:dyDescent="0.25">
      <c r="A34" t="s">
        <v>11</v>
      </c>
      <c r="B34" t="s">
        <v>55</v>
      </c>
      <c r="C34" t="s">
        <v>156</v>
      </c>
      <c r="D34">
        <v>1</v>
      </c>
      <c r="E34" s="6">
        <v>47.97</v>
      </c>
      <c r="F34" s="2">
        <f>D34*E34</f>
        <v>47.97</v>
      </c>
      <c r="G34" s="3" t="s">
        <v>74</v>
      </c>
      <c r="H34" t="s">
        <v>19</v>
      </c>
    </row>
    <row r="35" spans="1:8" x14ac:dyDescent="0.25">
      <c r="A35" t="s">
        <v>11</v>
      </c>
      <c r="B35" t="s">
        <v>55</v>
      </c>
      <c r="C35" t="s">
        <v>100</v>
      </c>
      <c r="D35">
        <v>1</v>
      </c>
      <c r="E35" s="6">
        <v>29.04</v>
      </c>
      <c r="F35" s="2">
        <f>D35*E35</f>
        <v>29.04</v>
      </c>
      <c r="G35" s="3" t="s">
        <v>104</v>
      </c>
      <c r="H35" t="s">
        <v>19</v>
      </c>
    </row>
    <row r="36" spans="1:8" x14ac:dyDescent="0.25">
      <c r="A36" t="s">
        <v>11</v>
      </c>
      <c r="B36" t="s">
        <v>55</v>
      </c>
      <c r="C36" t="s">
        <v>92</v>
      </c>
      <c r="D36">
        <v>3</v>
      </c>
      <c r="E36" s="6">
        <v>8.5</v>
      </c>
      <c r="F36" s="2">
        <f>D36*E36</f>
        <v>25.5</v>
      </c>
      <c r="G36" s="3" t="s">
        <v>107</v>
      </c>
      <c r="H36" t="s">
        <v>19</v>
      </c>
    </row>
    <row r="37" spans="1:8" hidden="1" x14ac:dyDescent="0.25">
      <c r="A37" t="s">
        <v>79</v>
      </c>
      <c r="B37" t="s">
        <v>80</v>
      </c>
      <c r="C37" t="s">
        <v>82</v>
      </c>
      <c r="D37">
        <v>1</v>
      </c>
      <c r="E37" s="6">
        <v>16.89</v>
      </c>
      <c r="F37" s="2">
        <f t="shared" ref="F8:F41" si="0">D37*E37</f>
        <v>16.89</v>
      </c>
      <c r="G37" s="3" t="s">
        <v>81</v>
      </c>
      <c r="H37" t="s">
        <v>24</v>
      </c>
    </row>
    <row r="38" spans="1:8" hidden="1" x14ac:dyDescent="0.25">
      <c r="A38" t="s">
        <v>11</v>
      </c>
      <c r="B38" t="s">
        <v>32</v>
      </c>
      <c r="C38" t="s">
        <v>40</v>
      </c>
      <c r="D38">
        <v>1</v>
      </c>
      <c r="E38" s="6">
        <v>7.95</v>
      </c>
      <c r="F38" s="2">
        <f t="shared" si="0"/>
        <v>7.95</v>
      </c>
      <c r="G38" s="3" t="s">
        <v>39</v>
      </c>
      <c r="H38" t="s">
        <v>24</v>
      </c>
    </row>
    <row r="39" spans="1:8" hidden="1" x14ac:dyDescent="0.25">
      <c r="A39" t="s">
        <v>7</v>
      </c>
      <c r="B39" t="s">
        <v>23</v>
      </c>
      <c r="C39" t="s">
        <v>8</v>
      </c>
      <c r="D39">
        <v>1</v>
      </c>
      <c r="E39" s="6">
        <v>29.99</v>
      </c>
      <c r="F39" s="2">
        <f t="shared" si="0"/>
        <v>29.99</v>
      </c>
      <c r="G39" s="3" t="s">
        <v>9</v>
      </c>
      <c r="H39" t="s">
        <v>24</v>
      </c>
    </row>
    <row r="40" spans="1:8" hidden="1" x14ac:dyDescent="0.25">
      <c r="A40" t="s">
        <v>11</v>
      </c>
      <c r="B40" t="s">
        <v>36</v>
      </c>
      <c r="C40" t="s">
        <v>71</v>
      </c>
      <c r="D40">
        <v>1</v>
      </c>
      <c r="E40" s="6">
        <v>33.950000000000003</v>
      </c>
      <c r="F40" s="2">
        <f t="shared" si="0"/>
        <v>33.950000000000003</v>
      </c>
      <c r="G40" s="3" t="s">
        <v>72</v>
      </c>
      <c r="H40" t="s">
        <v>24</v>
      </c>
    </row>
    <row r="41" spans="1:8" hidden="1" x14ac:dyDescent="0.25">
      <c r="A41" t="s">
        <v>11</v>
      </c>
      <c r="B41" t="s">
        <v>36</v>
      </c>
      <c r="C41" t="s">
        <v>38</v>
      </c>
      <c r="D41">
        <v>1</v>
      </c>
      <c r="E41" s="6">
        <v>9.27</v>
      </c>
      <c r="F41" s="2">
        <f t="shared" si="0"/>
        <v>9.27</v>
      </c>
      <c r="G41" s="3" t="s">
        <v>37</v>
      </c>
      <c r="H41" t="s">
        <v>24</v>
      </c>
    </row>
    <row r="42" spans="1:8" hidden="1" x14ac:dyDescent="0.25">
      <c r="A42" t="s">
        <v>11</v>
      </c>
      <c r="B42" t="s">
        <v>28</v>
      </c>
      <c r="C42" t="s">
        <v>30</v>
      </c>
      <c r="D42">
        <v>1</v>
      </c>
      <c r="E42" s="6">
        <v>33.9</v>
      </c>
      <c r="F42" s="2">
        <f t="shared" ref="F42:F69" si="1">D42*E42</f>
        <v>33.9</v>
      </c>
      <c r="G42" s="3" t="s">
        <v>31</v>
      </c>
      <c r="H42" t="s">
        <v>24</v>
      </c>
    </row>
    <row r="43" spans="1:8" hidden="1" x14ac:dyDescent="0.25">
      <c r="A43" t="s">
        <v>11</v>
      </c>
      <c r="B43" t="s">
        <v>28</v>
      </c>
      <c r="C43" t="s">
        <v>65</v>
      </c>
      <c r="D43">
        <v>1</v>
      </c>
      <c r="E43" s="6">
        <v>19.29</v>
      </c>
      <c r="F43" s="2">
        <f t="shared" si="1"/>
        <v>19.29</v>
      </c>
      <c r="G43" s="3" t="s">
        <v>64</v>
      </c>
      <c r="H43" t="s">
        <v>24</v>
      </c>
    </row>
    <row r="44" spans="1:8" hidden="1" x14ac:dyDescent="0.25">
      <c r="A44" t="s">
        <v>11</v>
      </c>
      <c r="B44" t="s">
        <v>41</v>
      </c>
      <c r="C44" t="s">
        <v>43</v>
      </c>
      <c r="D44">
        <v>1</v>
      </c>
      <c r="E44" s="6">
        <v>26.9</v>
      </c>
      <c r="F44" s="2">
        <f t="shared" si="1"/>
        <v>26.9</v>
      </c>
      <c r="G44" s="3" t="s">
        <v>42</v>
      </c>
      <c r="H44" t="s">
        <v>24</v>
      </c>
    </row>
    <row r="45" spans="1:8" hidden="1" x14ac:dyDescent="0.25">
      <c r="A45" t="s">
        <v>11</v>
      </c>
      <c r="B45" t="s">
        <v>33</v>
      </c>
      <c r="C45" t="s">
        <v>34</v>
      </c>
      <c r="D45">
        <v>1</v>
      </c>
      <c r="E45" s="6">
        <v>65</v>
      </c>
      <c r="F45" s="2">
        <f t="shared" si="1"/>
        <v>65</v>
      </c>
      <c r="G45" s="3" t="s">
        <v>35</v>
      </c>
      <c r="H45" t="s">
        <v>24</v>
      </c>
    </row>
    <row r="46" spans="1:8" hidden="1" x14ac:dyDescent="0.25">
      <c r="A46" t="s">
        <v>79</v>
      </c>
      <c r="B46" t="s">
        <v>32</v>
      </c>
      <c r="C46" t="s">
        <v>83</v>
      </c>
      <c r="D46">
        <v>1</v>
      </c>
      <c r="E46" s="6">
        <v>5.79</v>
      </c>
      <c r="F46" s="2">
        <f t="shared" si="1"/>
        <v>5.79</v>
      </c>
      <c r="G46" s="3" t="s">
        <v>101</v>
      </c>
      <c r="H46" t="s">
        <v>20</v>
      </c>
    </row>
    <row r="47" spans="1:8" hidden="1" x14ac:dyDescent="0.25">
      <c r="A47" t="s">
        <v>11</v>
      </c>
      <c r="B47" t="s">
        <v>23</v>
      </c>
      <c r="C47" t="s">
        <v>144</v>
      </c>
      <c r="D47">
        <v>1</v>
      </c>
      <c r="E47" s="6">
        <v>7.69</v>
      </c>
      <c r="F47" s="2">
        <f t="shared" si="1"/>
        <v>7.69</v>
      </c>
      <c r="G47" s="3" t="s">
        <v>143</v>
      </c>
      <c r="H47" t="s">
        <v>20</v>
      </c>
    </row>
    <row r="48" spans="1:8" hidden="1" x14ac:dyDescent="0.25">
      <c r="A48" t="s">
        <v>11</v>
      </c>
      <c r="B48" t="s">
        <v>116</v>
      </c>
      <c r="C48" t="s">
        <v>58</v>
      </c>
      <c r="D48">
        <v>1</v>
      </c>
      <c r="E48" s="6">
        <v>21.27</v>
      </c>
      <c r="F48" s="2">
        <f t="shared" si="1"/>
        <v>21.27</v>
      </c>
      <c r="G48" s="3" t="s">
        <v>59</v>
      </c>
      <c r="H48" t="s">
        <v>20</v>
      </c>
    </row>
    <row r="49" spans="1:8" ht="15" hidden="1" customHeight="1" x14ac:dyDescent="0.25">
      <c r="A49" t="s">
        <v>11</v>
      </c>
      <c r="B49" t="s">
        <v>116</v>
      </c>
      <c r="C49" t="s">
        <v>70</v>
      </c>
      <c r="D49">
        <v>1</v>
      </c>
      <c r="E49" s="6">
        <v>18.548999999999999</v>
      </c>
      <c r="F49" s="2">
        <f t="shared" si="1"/>
        <v>18.548999999999999</v>
      </c>
      <c r="G49" s="3" t="s">
        <v>69</v>
      </c>
      <c r="H49" t="s">
        <v>20</v>
      </c>
    </row>
    <row r="50" spans="1:8" hidden="1" x14ac:dyDescent="0.25">
      <c r="A50" t="s">
        <v>11</v>
      </c>
      <c r="B50" t="s">
        <v>116</v>
      </c>
      <c r="C50" t="s">
        <v>63</v>
      </c>
      <c r="D50">
        <v>1</v>
      </c>
      <c r="E50" s="6">
        <v>17.62</v>
      </c>
      <c r="F50" s="2">
        <f t="shared" si="1"/>
        <v>17.62</v>
      </c>
      <c r="G50" s="3" t="s">
        <v>62</v>
      </c>
      <c r="H50" t="s">
        <v>20</v>
      </c>
    </row>
    <row r="51" spans="1:8" hidden="1" x14ac:dyDescent="0.25">
      <c r="A51" t="s">
        <v>11</v>
      </c>
      <c r="B51" t="s">
        <v>32</v>
      </c>
      <c r="C51" t="s">
        <v>147</v>
      </c>
      <c r="D51">
        <v>1</v>
      </c>
      <c r="E51" s="6">
        <v>69.72</v>
      </c>
      <c r="F51" s="2">
        <f t="shared" si="1"/>
        <v>69.72</v>
      </c>
      <c r="G51" s="3" t="s">
        <v>148</v>
      </c>
      <c r="H51" t="s">
        <v>20</v>
      </c>
    </row>
    <row r="52" spans="1:8" hidden="1" x14ac:dyDescent="0.25">
      <c r="A52" t="s">
        <v>79</v>
      </c>
      <c r="B52" t="s">
        <v>32</v>
      </c>
      <c r="C52" t="s">
        <v>149</v>
      </c>
      <c r="D52">
        <v>5</v>
      </c>
      <c r="E52" s="6">
        <v>2.4500000000000002</v>
      </c>
      <c r="F52" s="2">
        <f t="shared" si="1"/>
        <v>12.25</v>
      </c>
      <c r="G52" s="3" t="s">
        <v>150</v>
      </c>
      <c r="H52" t="s">
        <v>20</v>
      </c>
    </row>
    <row r="53" spans="1:8" ht="15" hidden="1" customHeight="1" x14ac:dyDescent="0.25">
      <c r="A53" t="s">
        <v>79</v>
      </c>
      <c r="B53" t="s">
        <v>23</v>
      </c>
      <c r="C53" t="s">
        <v>102</v>
      </c>
      <c r="D53">
        <v>1</v>
      </c>
      <c r="E53" s="6">
        <v>13</v>
      </c>
      <c r="F53" s="2">
        <f t="shared" si="1"/>
        <v>13</v>
      </c>
      <c r="G53" s="3" t="s">
        <v>110</v>
      </c>
      <c r="H53" t="s">
        <v>20</v>
      </c>
    </row>
    <row r="54" spans="1:8" hidden="1" x14ac:dyDescent="0.25">
      <c r="A54" t="s">
        <v>79</v>
      </c>
      <c r="B54" t="s">
        <v>23</v>
      </c>
      <c r="C54" t="s">
        <v>103</v>
      </c>
      <c r="D54">
        <v>1</v>
      </c>
      <c r="E54" s="6">
        <v>10.59</v>
      </c>
      <c r="F54" s="2">
        <f t="shared" si="1"/>
        <v>10.59</v>
      </c>
      <c r="G54" s="3" t="s">
        <v>110</v>
      </c>
      <c r="H54" t="s">
        <v>20</v>
      </c>
    </row>
    <row r="55" spans="1:8" hidden="1" x14ac:dyDescent="0.25">
      <c r="A55" t="s">
        <v>79</v>
      </c>
      <c r="B55" t="s">
        <v>23</v>
      </c>
      <c r="C55" t="s">
        <v>112</v>
      </c>
      <c r="D55">
        <v>1</v>
      </c>
      <c r="E55" s="6">
        <v>12.94</v>
      </c>
      <c r="F55" s="2">
        <f t="shared" si="1"/>
        <v>12.94</v>
      </c>
      <c r="G55" s="3" t="s">
        <v>111</v>
      </c>
      <c r="H55" t="s">
        <v>20</v>
      </c>
    </row>
    <row r="56" spans="1:8" hidden="1" x14ac:dyDescent="0.25">
      <c r="A56" t="s">
        <v>79</v>
      </c>
      <c r="B56" t="s">
        <v>23</v>
      </c>
      <c r="C56" t="s">
        <v>115</v>
      </c>
      <c r="D56">
        <v>1</v>
      </c>
      <c r="E56" s="6">
        <v>11.64</v>
      </c>
      <c r="F56" s="2">
        <f t="shared" si="1"/>
        <v>11.64</v>
      </c>
      <c r="G56" s="3" t="s">
        <v>123</v>
      </c>
      <c r="H56" t="s">
        <v>20</v>
      </c>
    </row>
    <row r="57" spans="1:8" hidden="1" x14ac:dyDescent="0.25">
      <c r="A57" t="s">
        <v>11</v>
      </c>
      <c r="B57" t="s">
        <v>23</v>
      </c>
      <c r="C57" t="s">
        <v>48</v>
      </c>
      <c r="D57">
        <v>1</v>
      </c>
      <c r="E57" s="6">
        <v>20.75</v>
      </c>
      <c r="F57" s="2">
        <f t="shared" si="1"/>
        <v>20.75</v>
      </c>
      <c r="G57" s="3" t="s">
        <v>49</v>
      </c>
      <c r="H57" t="s">
        <v>20</v>
      </c>
    </row>
    <row r="58" spans="1:8" hidden="1" x14ac:dyDescent="0.25">
      <c r="A58" t="s">
        <v>11</v>
      </c>
      <c r="B58" t="s">
        <v>23</v>
      </c>
      <c r="C58" t="s">
        <v>46</v>
      </c>
      <c r="D58">
        <v>1</v>
      </c>
      <c r="E58" s="6">
        <v>19.420000000000002</v>
      </c>
      <c r="F58" s="2">
        <f t="shared" si="1"/>
        <v>19.420000000000002</v>
      </c>
      <c r="G58" s="3" t="s">
        <v>47</v>
      </c>
      <c r="H58" t="s">
        <v>20</v>
      </c>
    </row>
    <row r="59" spans="1:8" hidden="1" x14ac:dyDescent="0.25">
      <c r="A59" t="s">
        <v>11</v>
      </c>
      <c r="B59" t="s">
        <v>23</v>
      </c>
      <c r="C59" t="s">
        <v>50</v>
      </c>
      <c r="D59">
        <v>1</v>
      </c>
      <c r="E59" s="6">
        <v>10.55</v>
      </c>
      <c r="F59" s="2">
        <f t="shared" si="1"/>
        <v>10.55</v>
      </c>
      <c r="G59" s="3" t="s">
        <v>142</v>
      </c>
      <c r="H59" t="s">
        <v>20</v>
      </c>
    </row>
    <row r="60" spans="1:8" hidden="1" x14ac:dyDescent="0.25">
      <c r="A60" t="s">
        <v>117</v>
      </c>
      <c r="B60" t="s">
        <v>23</v>
      </c>
      <c r="C60" t="s">
        <v>132</v>
      </c>
      <c r="D60">
        <v>1</v>
      </c>
      <c r="E60" s="6">
        <v>19.2</v>
      </c>
      <c r="F60" s="2">
        <f t="shared" si="1"/>
        <v>19.2</v>
      </c>
      <c r="G60" s="3" t="s">
        <v>136</v>
      </c>
      <c r="H60" t="s">
        <v>20</v>
      </c>
    </row>
    <row r="61" spans="1:8" hidden="1" x14ac:dyDescent="0.25">
      <c r="A61" t="s">
        <v>5</v>
      </c>
      <c r="B61" t="s">
        <v>23</v>
      </c>
      <c r="C61" t="s">
        <v>6</v>
      </c>
      <c r="D61">
        <v>1</v>
      </c>
      <c r="E61" s="6">
        <v>106.68</v>
      </c>
      <c r="F61" s="2">
        <f t="shared" si="1"/>
        <v>106.68</v>
      </c>
      <c r="G61" s="3" t="s">
        <v>12</v>
      </c>
      <c r="H61" t="s">
        <v>20</v>
      </c>
    </row>
    <row r="62" spans="1:8" hidden="1" x14ac:dyDescent="0.25">
      <c r="A62" t="s">
        <v>5</v>
      </c>
      <c r="B62" t="s">
        <v>23</v>
      </c>
      <c r="C62" t="s">
        <v>13</v>
      </c>
      <c r="D62">
        <v>1</v>
      </c>
      <c r="E62" s="6">
        <v>7.08</v>
      </c>
      <c r="F62" s="2">
        <f t="shared" si="1"/>
        <v>7.08</v>
      </c>
      <c r="G62" s="3" t="s">
        <v>14</v>
      </c>
      <c r="H62" t="s">
        <v>20</v>
      </c>
    </row>
    <row r="63" spans="1:8" hidden="1" x14ac:dyDescent="0.25">
      <c r="A63" t="s">
        <v>5</v>
      </c>
      <c r="B63" t="s">
        <v>23</v>
      </c>
      <c r="C63" t="s">
        <v>15</v>
      </c>
      <c r="D63">
        <v>4</v>
      </c>
      <c r="E63" s="6">
        <v>6.08</v>
      </c>
      <c r="F63" s="2">
        <f t="shared" si="1"/>
        <v>24.32</v>
      </c>
      <c r="G63" s="3" t="s">
        <v>16</v>
      </c>
      <c r="H63" t="s">
        <v>20</v>
      </c>
    </row>
    <row r="64" spans="1:8" hidden="1" x14ac:dyDescent="0.25">
      <c r="A64" t="s">
        <v>79</v>
      </c>
      <c r="B64" t="s">
        <v>23</v>
      </c>
      <c r="C64" t="s">
        <v>108</v>
      </c>
      <c r="D64">
        <v>1</v>
      </c>
      <c r="E64" s="6">
        <v>4.79</v>
      </c>
      <c r="F64" s="2">
        <f t="shared" si="1"/>
        <v>4.79</v>
      </c>
      <c r="G64" s="3" t="s">
        <v>109</v>
      </c>
      <c r="H64" t="s">
        <v>20</v>
      </c>
    </row>
    <row r="65" spans="1:8" hidden="1" x14ac:dyDescent="0.25">
      <c r="A65" t="s">
        <v>79</v>
      </c>
      <c r="B65" t="s">
        <v>23</v>
      </c>
      <c r="C65" t="s">
        <v>124</v>
      </c>
      <c r="D65">
        <v>2</v>
      </c>
      <c r="E65" s="6">
        <v>2.64</v>
      </c>
      <c r="F65" s="2">
        <f t="shared" si="1"/>
        <v>5.28</v>
      </c>
      <c r="G65" s="3" t="s">
        <v>125</v>
      </c>
      <c r="H65" t="s">
        <v>20</v>
      </c>
    </row>
    <row r="66" spans="1:8" hidden="1" x14ac:dyDescent="0.25">
      <c r="A66" t="s">
        <v>79</v>
      </c>
      <c r="B66" t="s">
        <v>23</v>
      </c>
      <c r="C66" t="s">
        <v>126</v>
      </c>
      <c r="D66">
        <v>1</v>
      </c>
      <c r="E66" s="6">
        <v>2.52</v>
      </c>
      <c r="F66" s="2">
        <f t="shared" si="1"/>
        <v>2.52</v>
      </c>
      <c r="G66" s="3" t="s">
        <v>125</v>
      </c>
      <c r="H66" t="s">
        <v>20</v>
      </c>
    </row>
    <row r="67" spans="1:8" hidden="1" x14ac:dyDescent="0.25">
      <c r="A67" t="s">
        <v>117</v>
      </c>
      <c r="B67" t="s">
        <v>23</v>
      </c>
      <c r="C67" t="s">
        <v>118</v>
      </c>
      <c r="D67">
        <v>1</v>
      </c>
      <c r="E67" s="6">
        <v>13.99</v>
      </c>
      <c r="F67" s="9">
        <f t="shared" si="1"/>
        <v>13.99</v>
      </c>
      <c r="G67" s="3" t="s">
        <v>119</v>
      </c>
      <c r="H67" t="s">
        <v>20</v>
      </c>
    </row>
    <row r="68" spans="1:8" hidden="1" x14ac:dyDescent="0.25">
      <c r="A68" t="s">
        <v>11</v>
      </c>
      <c r="B68" t="s">
        <v>23</v>
      </c>
      <c r="C68" t="s">
        <v>113</v>
      </c>
      <c r="D68">
        <v>1</v>
      </c>
      <c r="E68" s="6">
        <v>13.61</v>
      </c>
      <c r="F68" s="2">
        <f t="shared" si="1"/>
        <v>13.61</v>
      </c>
      <c r="G68" s="3" t="s">
        <v>120</v>
      </c>
      <c r="H68" t="s">
        <v>20</v>
      </c>
    </row>
    <row r="69" spans="1:8" hidden="1" x14ac:dyDescent="0.25">
      <c r="A69" t="s">
        <v>11</v>
      </c>
      <c r="B69" t="s">
        <v>23</v>
      </c>
      <c r="C69" t="s">
        <v>75</v>
      </c>
      <c r="D69">
        <v>1</v>
      </c>
      <c r="E69" s="6">
        <v>10.5</v>
      </c>
      <c r="F69" s="2">
        <f t="shared" si="1"/>
        <v>10.5</v>
      </c>
      <c r="G69" s="3" t="s">
        <v>76</v>
      </c>
      <c r="H69" t="s">
        <v>20</v>
      </c>
    </row>
    <row r="70" spans="1:8" hidden="1" x14ac:dyDescent="0.25">
      <c r="A70" t="s">
        <v>11</v>
      </c>
      <c r="B70" t="s">
        <v>23</v>
      </c>
      <c r="C70" t="s">
        <v>121</v>
      </c>
      <c r="D70">
        <v>1</v>
      </c>
      <c r="E70" s="6">
        <v>5.0999999999999996</v>
      </c>
      <c r="F70" s="10">
        <v>5.0999999999999996</v>
      </c>
      <c r="G70" s="3" t="s">
        <v>122</v>
      </c>
      <c r="H70" t="s">
        <v>20</v>
      </c>
    </row>
    <row r="71" spans="1:8" hidden="1" x14ac:dyDescent="0.25">
      <c r="A71" t="s">
        <v>11</v>
      </c>
      <c r="B71" t="s">
        <v>36</v>
      </c>
      <c r="C71" t="s">
        <v>60</v>
      </c>
      <c r="D71">
        <v>1</v>
      </c>
      <c r="E71" s="6">
        <v>25.38</v>
      </c>
      <c r="F71" s="2">
        <f>D71*E71</f>
        <v>25.38</v>
      </c>
      <c r="G71" s="3" t="s">
        <v>61</v>
      </c>
      <c r="H71" t="s">
        <v>20</v>
      </c>
    </row>
    <row r="72" spans="1:8" hidden="1" x14ac:dyDescent="0.25">
      <c r="A72" t="s">
        <v>11</v>
      </c>
      <c r="B72" t="s">
        <v>41</v>
      </c>
      <c r="C72" t="s">
        <v>128</v>
      </c>
      <c r="D72">
        <v>1</v>
      </c>
      <c r="E72" s="6">
        <v>9.99</v>
      </c>
      <c r="F72" s="2">
        <f>D72*E72</f>
        <v>9.99</v>
      </c>
      <c r="G72" s="3" t="s">
        <v>129</v>
      </c>
      <c r="H72" t="s">
        <v>20</v>
      </c>
    </row>
    <row r="73" spans="1:8" hidden="1" x14ac:dyDescent="0.25">
      <c r="A73" t="s">
        <v>11</v>
      </c>
      <c r="B73" t="s">
        <v>41</v>
      </c>
      <c r="C73" t="s">
        <v>130</v>
      </c>
      <c r="D73">
        <v>1</v>
      </c>
      <c r="E73" s="6">
        <v>3.95</v>
      </c>
      <c r="F73" s="2">
        <f>D73*E73</f>
        <v>3.95</v>
      </c>
      <c r="G73" s="3" t="s">
        <v>131</v>
      </c>
      <c r="H73" t="s">
        <v>20</v>
      </c>
    </row>
  </sheetData>
  <autoFilter ref="A7:H73" xr:uid="{00000000-0001-0000-0000-000000000000}">
    <filterColumn colId="7">
      <filters>
        <filter val="NEED"/>
        <filter val="ORDERED"/>
      </filters>
    </filterColumn>
    <sortState xmlns:xlrd2="http://schemas.microsoft.com/office/spreadsheetml/2017/richdata2" ref="A8:H36">
      <sortCondition ref="H7:H73"/>
    </sortState>
  </autoFilter>
  <conditionalFormatting sqref="H2:H5 H7:H1048576">
    <cfRule type="cellIs" dxfId="3" priority="1" operator="equal">
      <formula>$H$5</formula>
    </cfRule>
    <cfRule type="cellIs" dxfId="2" priority="2" operator="equal">
      <formula>$H$4</formula>
    </cfRule>
    <cfRule type="cellIs" dxfId="1" priority="3" operator="equal">
      <formula>$H$3</formula>
    </cfRule>
    <cfRule type="cellIs" dxfId="0" priority="4" operator="equal">
      <formula>$H$2</formula>
    </cfRule>
  </conditionalFormatting>
  <dataValidations count="3">
    <dataValidation showInputMessage="1" showErrorMessage="1" sqref="H7" xr:uid="{81D89E58-A133-492B-BD42-C680B8484246}"/>
    <dataValidation type="list" showInputMessage="1" showErrorMessage="1" sqref="H74:H1048576" xr:uid="{0533BAEA-1D61-4F3A-A6CF-C53B9674DAE1}">
      <formula1>$M$15:$M$21</formula1>
    </dataValidation>
    <dataValidation type="list" showInputMessage="1" showErrorMessage="1" sqref="H8:H73" xr:uid="{A791257A-9334-4421-AD0F-531B535C151E}">
      <formula1>$H$2:$H$6</formula1>
    </dataValidation>
  </dataValidations>
  <hyperlinks>
    <hyperlink ref="G39" r:id="rId1" xr:uid="{D527C6B0-4423-4B22-A80C-2092BA579527}"/>
    <hyperlink ref="G63" r:id="rId2" xr:uid="{777B51E6-5E46-47D4-8A42-092A5F91DDB0}"/>
    <hyperlink ref="G62" r:id="rId3" xr:uid="{EE838DAC-4EA0-4635-879B-DC69709FDA46}"/>
    <hyperlink ref="G68" r:id="rId4" xr:uid="{CF684C62-BFC5-4D42-A949-4BDE12082CC3}"/>
    <hyperlink ref="G61" r:id="rId5" xr:uid="{2D3C81E4-9CC5-43E3-9D17-D3790AB9B98A}"/>
    <hyperlink ref="G64" r:id="rId6" xr:uid="{EC50D067-90F6-42E2-9B3F-C647045FEF5E}"/>
    <hyperlink ref="G25" r:id="rId7" display="https://www.ebay.co.uk/itm/267593773219" xr:uid="{0A89A378-690D-48A2-A2EB-A704D38F90B1}"/>
    <hyperlink ref="G42" r:id="rId8" display="https://www.ebay.co.uk/itm/254798674246?var=556592211921" xr:uid="{1268FD2F-013D-4D7E-B393-7B1D8C969CD4}"/>
    <hyperlink ref="G45" r:id="rId9" display="https://www.ebay.co.uk/itm/127905201100?_trksid=p2332490.c101196.m2219&amp;itmprp=cksum%3A1279052011001bb282a9d00e4ebda5ada5e8732dd4cd%7Cenc%3AAQALAAABYPc4YgTWUogX4l4Wo4r6rbj89PpwuaernzlZ%252BQ9Jflnere4td0FNO7ZUFpdCZ5W1PHVcKr90xHJ8HZYqTb2OAMqpJmPfQb42ATbkA3%252F%252B2uHBZ%252FYS0K3D8IU17hUyYNcxbIlqG%252FrH0utxChRg1mB7bHWuh23qbpE0obCZEbdwO6pPOjEEt0SDGtsLtwpNAX8k10V7g1CtKvyI7nZwJ1S4M2aMQxRtdTCFZcuIBXibNxgklVSsJ3qqrRgJPfz7mRIiSnc3TElBDJsHHXu44gU0D9JbUqiola4OxabNKPKq%252B2zAGgvG1kwfP964xjMPAPsTNha6LUUGegL9fPy8MkfwWIQzOjomVOByDuKGEBFztkHvwe0AoKHWWatsHsLE6nTYYNQFGhzdu8zx93rR2eVEC%252Fyb9apaNSx2AnFhxp9PqXp0ZFkhgnCKhYMQ0R6biXxJvvvVI1DOins5DssHGDdG8XA%253D%7Campid%3APL_CLK%7Cclp%3A2332490&amp;itmmeta=01KWM11FYA6K7HRRMBDDD8HY5T" xr:uid="{5256AB32-3721-4E60-81CB-906E639B605D}"/>
    <hyperlink ref="G41" r:id="rId10" display="https://www.ebay.co.uk/itm/227290423326" xr:uid="{C7CE65EB-DDA2-46AD-8ACC-998D90D68F5C}"/>
    <hyperlink ref="G38" r:id="rId11" display="https://www.ebay.co.uk/itm/185037818207" xr:uid="{68F52BE1-01F9-444B-9747-8F1647983052}"/>
    <hyperlink ref="G44" r:id="rId12" display="https://www.ebay.co.uk/itm/226909834959" xr:uid="{45F0E670-CF1C-494D-A10D-A0486B6C442A}"/>
    <hyperlink ref="G31" r:id="rId13" display="https://www.ebay.co.uk/itm/257396264398" xr:uid="{627864FA-0F71-4FBD-AA6B-10385C604413}"/>
    <hyperlink ref="G58" r:id="rId14" display="https://www.ebay.co.uk/itm/232909090130" xr:uid="{F5A8FEFB-A0FE-4CE3-8653-A76C2812B28A}"/>
    <hyperlink ref="G57" r:id="rId15" display="https://www.ebay.co.uk/itm/232909090213" xr:uid="{6738F880-BD9E-4079-933D-CABECD306235}"/>
    <hyperlink ref="G59" r:id="rId16" display="https://www.ebay.co.uk/itm/234872673165" xr:uid="{7087A7C8-3AB2-4A9D-97F9-AF6B351F1CEA}"/>
    <hyperlink ref="G32" r:id="rId17" display="https://www.ebay.co.uk/itm/142796139227?var=441802778514" xr:uid="{A860E342-D811-4998-B153-465C33B77299}"/>
    <hyperlink ref="G30" r:id="rId18" display="https://www.ebay.co.uk/itm/142942642849?var=441915824565" xr:uid="{1E5CE549-CABC-4701-B8F0-8FDDA039392A}"/>
    <hyperlink ref="G12" r:id="rId19" display="https://www.ebay.co.uk/itm/304974154748" xr:uid="{8C0AF0F9-7742-4735-AA7D-8E6CE69DAC1A}"/>
    <hyperlink ref="G71" r:id="rId20" display="https://www.ebay.co.uk/itm/257452934131" xr:uid="{46DEA27B-875C-47C3-A54A-7AC44AD7127D}"/>
    <hyperlink ref="G50" r:id="rId21" display="https://www.ebay.co.uk/itm/365454604457" xr:uid="{B685DFC1-5A63-44AC-9A81-4E90A75DA6B3}"/>
    <hyperlink ref="G43" r:id="rId22" display="https://www.ebay.co.uk/itm/124298708079?var=425193004134" xr:uid="{7AFE7937-5C34-433B-82FD-455048B1A240}"/>
    <hyperlink ref="G20" r:id="rId23" display="https://www.ebay.co.uk/itm/315958675971" xr:uid="{83330988-5A82-4244-8297-8872FF33A3AA}"/>
    <hyperlink ref="G23" r:id="rId24" display="https://www.ebay.co.uk/itm/165486326028?var=465037110911" xr:uid="{FF3C26EF-72CE-4852-8712-FD54CE621B17}"/>
    <hyperlink ref="G49" r:id="rId25" display="https://www.ebay.co.uk/itm/336394701276" xr:uid="{6B889441-60D0-428D-98A6-13D37CCE8663}"/>
    <hyperlink ref="G40" r:id="rId26" display="https://www.ebay.co.uk/itm/396873573261" xr:uid="{5F496CCF-FCDE-47AA-9EB6-77E9352C888B}"/>
    <hyperlink ref="G34" r:id="rId27" display="https://www.ebay.co.uk/itm/296376179942" xr:uid="{13773870-4728-4362-AB1B-76EE5E5D8101}"/>
    <hyperlink ref="G69" r:id="rId28" display="https://www.ebay.co.uk/itm/136629408147" xr:uid="{CBB74DE6-577C-45B7-9B29-544C8389A71D}"/>
    <hyperlink ref="G33" r:id="rId29" display="https://www.ebay.co.uk/itm/185589868598" xr:uid="{8609B5A2-B8C2-4766-BEF4-9FFC9E965DC1}"/>
    <hyperlink ref="G37" r:id="rId30" display="https://www.aliexpress.com/item/1005001651547619.html?spm=a2g0o.productlist.main.1.15c2a6257pQv2Z&amp;algo_pvid=e4181da6-793c-4260-b588-eab37fdae66b&amp;algo_exp_id=e4181da6-793c-4260-b588-eab37fdae66b-0&amp;pdp_ext_f=%7B%22order%22%3A%2235%22%2C%22spu_best_type%22%3A%22price%22%2C%22eval%22%3A%221%22%2C%22fromPage%22%3A%22search%22%7D&amp;pdp_npi=6%40dis%21GBP%2128.15%2116.89%21%21%2136.51%2121.91%21%40211b65de17830870698145082ea158%2112000016985518017%21sea%21UK%216754845073%21X%211%210%21n_tag%3A-29919%3Bd%3A28c2ef7a%3Bm03_new_user%3A-29895&amp;curPageLogUid=TSd36B2kvmDS&amp;utparam-url=scene%3Asearch%7Cquery_from%3A%7Cx_object_id%3A1005001651547619%7C_p_origin_prod%3A" xr:uid="{BE0AD6FD-40B5-4341-9561-485DE41252CE}"/>
    <hyperlink ref="G18" r:id="rId31" display="https://www.aliexpress.com/item/1005009811298522.html?spm=a2g0o.productlist.main.10.5ab95072XKg540&amp;algo_pvid=6358b0c9-3f17-4c94-904f-6f9521658faf&amp;algo_exp_id=6358b0c9-3f17-4c94-904f-6f9521658faf-9&amp;pdp_ext_f=%7B%22order%22%3A%22181%22%2C%22eval%22%3A%221%22%2C%22fromPage%22%3A%22search%22%7D&amp;pdp_npi=6%40dis%21GBP%2110.27%215.13%21%21%2190.36%2145.18%21%402103890917830876192731354eb3b5%2112000050246750971%21sea%21UK%216754845073%21X%211%210%21n_tag%3A-29919%3Bd%3A28c2ef7a%3Bm03_new_user%3A-29895&amp;curPageLogUid=FggcYH56eUjX&amp;utparam-url=scene%3Asearch%7Cquery_from%3A%7Cx_object_id%3A1005009811298522%7C_p_origin_prod%3A" xr:uid="{B27EF50F-D92B-4E20-AED2-4189D687BC97}"/>
    <hyperlink ref="G10" r:id="rId32" display="https://www.ebay.co.uk/itm/188207170525" xr:uid="{4772701A-8259-4BB5-8A81-002EAF7C60F2}"/>
    <hyperlink ref="G13" r:id="rId33" display="https://www.ebay.co.uk/itm/376732370503" xr:uid="{CFB0C8E7-646E-445A-9BBA-187E8F8B92FB}"/>
    <hyperlink ref="G14" r:id="rId34" display="https://www.ebay.co.uk/itm/393033735876" xr:uid="{0BC84A94-262B-4C0F-B7E9-FD0D80B2D23C}"/>
    <hyperlink ref="G22" r:id="rId35" display="https://www.ebay.co.uk/itm/291204542062" xr:uid="{87B9B166-E1F8-41CC-8849-47051A8F9723}"/>
    <hyperlink ref="G21" r:id="rId36" display="https://www.ebay.co.uk/itm/166006680157" xr:uid="{CE5A2A95-FF65-4D89-9039-1FFC3849BAA4}"/>
    <hyperlink ref="G11" r:id="rId37" display="https://www.ebay.co.uk/itm/227196621311" xr:uid="{F597010B-151B-4F63-98B9-B3066D45FB40}"/>
    <hyperlink ref="G46" r:id="rId38" display="https://www.aliexpress.com/item/1005010796265512.html?spm=a2g0o.cart.0.0.15bc38daKDQAUj&amp;mp=1&amp;pdp_npi=6%40dis%21GBP%21GBP+5.85%21GBP+5.79%21%21GBP+5.79%21%21%21%400b884b5817830887546015996e0f63%2112000053533637067%21ct%21UK%216754845073%21%211%210%21" xr:uid="{4232082C-14C1-463B-82A0-7A9DE82E7781}"/>
    <hyperlink ref="G35" r:id="rId39" display="https://www.ebay.co.uk/itm/277955983581?_skw=beetle+front+shocks&amp;itmmeta=01KWM7X952SC9TZTBKJF9J5RPJ&amp;hash=item40b777b8dd%3Ag%3A%7E3IAAeSwnxZp-JTk&amp;itmprp=enc%3AAQALAAAA0GfYFPkwiKCW4ZNSs2u11xDCjRSjULgNR98aIzJw1ITqAZUSZ%2FwVjJA%2Bj04Kf8L941u3xEUEDi9lHUnfEpRxy8cWUpwxjG7cAbmB2wgPgp%2Fk7V7WsDb11fKUlBrnkNIwoJmYB%2BconBYZFj2HU7VTyRDINv%2ByG%2FTomgc%2FOYruEhsfZy0NhYDfLpKWZOCijvPq4DIcXaqABZZyguXtm1ghyHuirYu6odhhQQjG3BU0xNf4pVXzxr8HcoW%2BU8rvcUXCxqNdzI9kvcT1avyS0JEmDfQ%3D%7Ctkp%3ABk9SR-CS9YflZw&amp;LH_ItemCondition=3000" xr:uid="{93FF6EBC-AF58-4225-9DBC-FF82D121DF6F}"/>
    <hyperlink ref="G28" r:id="rId40" display="https://www.ebay.co.uk/itm/184619384106?_trksid=p2332490.c101196.m2219&amp;itmprp=cksum%3A18461938410654de79ee8bd5455fba8e54b03be89c05%7Cenc%3AAQALAAABYPc4YgTWUogX4l4Wo4r6rbj89PpwuaernzlZ%252BQ9Jflnere4td0FNO7ZUFpdCZ5W1PHVcKr90xHJ8HZYqTb2OAMqpJmPfQb42ATbkA3%252F%252B2uHBZ%252FYS0K3D8IU17hUyYNcxbIlqG%252FrH0utxChRg1mB7bHUVUy6gTEzE6qNyhx5Z%252BMTGEk5wPQcRCWum7m75mmchx2gusgNLN%252B%252FDzy%252Bi5UuqhL1GX8%252Fof9HInbYrY5dw5htNAvLWYx7%252BAx65r%252FplEMZM5FwupPyBBdfPIwxWepzdDYZcJL%252FahMB2QdhWX1XvEus9QWU66LfXaGUt8hQlRPZ0TD28esvpdhdJZgIOuQAo6WaIQw4y%252FLY1n2tSY%252BhXROb1XY3dy67aTHP6khWYuHznPG6Chm5YLsSc2V9xGqmo4jj9F9bpuwQk5ekqW2bCHszCxKV1ZrRIGkHTnNgxM7kmz2KE7EZqGl4Kmej1AIiJyLo%253D%7Campid%3APL_CLK%7Cclp%3A2332490&amp;itmmeta=01KWM892T4ZSRF5BH9Y6VMK2EB" xr:uid="{CF716E6D-EAB8-4019-BA57-7C2254B90FD8}"/>
    <hyperlink ref="G36" r:id="rId41" display="https://www.ebay.co.uk/itm/125608376468" xr:uid="{ADA22996-1C89-4FDA-A22F-41876A69EC03}"/>
    <hyperlink ref="G53" r:id="rId42" xr:uid="{FA9A8F6C-8DD9-409C-BCD1-580C2E025DFB}"/>
    <hyperlink ref="G54" r:id="rId43" xr:uid="{72203A1F-A971-4D02-B30F-D7EE079E33EF}"/>
    <hyperlink ref="G55" r:id="rId44" xr:uid="{CF7FB350-7459-40D1-8C1C-7CB278F64BCF}"/>
    <hyperlink ref="G67" r:id="rId45" xr:uid="{A36F059B-1301-3340-AC70-34FCD84A475E}"/>
    <hyperlink ref="G70" r:id="rId46" xr:uid="{4223D590-307C-F445-9729-74A24E35782F}"/>
    <hyperlink ref="G56" r:id="rId47" xr:uid="{EAD79242-82A9-478A-A45A-ABAA99DDE6B0}"/>
    <hyperlink ref="G65" r:id="rId48" display="https://www.aliexpress.com/item/1005009253001732.html?spm=a2g0o.order_list.order_list_main.19.21ef1802IPZ5hc" xr:uid="{EAD9D07F-A859-4176-AFF3-E143BB2A7EDB}"/>
    <hyperlink ref="G66" r:id="rId49" display="https://www.aliexpress.com/item/1005009253001732.html?spm=a2g0o.order_list.order_list_main.19.21ef1802IPZ5hc" xr:uid="{C69DD1C6-C8A0-4F6F-A7E7-A3F7841CC46E}"/>
    <hyperlink ref="G24" r:id="rId50" xr:uid="{271D46AE-F3BF-AB4E-9C45-8BB33C3C0A9D}"/>
    <hyperlink ref="G72" r:id="rId51" xr:uid="{D820FB15-4976-4C41-ADF0-0F48BB74E6D9}"/>
    <hyperlink ref="G73" r:id="rId52" xr:uid="{62D43AE5-81EB-409C-B820-60BABD5AD353}"/>
    <hyperlink ref="G60" r:id="rId53" xr:uid="{1FBE83F3-2345-4A80-B3E8-85CA92A9B11E}"/>
    <hyperlink ref="G27" r:id="rId54" xr:uid="{DD726CD3-883A-5D47-8226-84D3CC31923C}"/>
    <hyperlink ref="G9" r:id="rId55" display="https://www.ebay.co.uk/itm/185922082998" xr:uid="{7D43D38B-7521-4F34-BBD8-266AD58EE0FB}"/>
    <hyperlink ref="G8" r:id="rId56" xr:uid="{F0DD110B-5FA3-4694-9541-2F812D6C99C4}"/>
    <hyperlink ref="G15" r:id="rId57" xr:uid="{4BAB22AC-DF20-4B78-ACFD-D5712A87B8C5}"/>
    <hyperlink ref="G48" r:id="rId58" display="https://www.ebay.co.uk/itm/364672515772" xr:uid="{BFBDDF94-6ECD-451E-9BD3-292C158EA93C}"/>
    <hyperlink ref="G47" r:id="rId59" xr:uid="{5F2A98F4-628B-4ABB-B9CF-9AF8001B9069}"/>
    <hyperlink ref="G29" r:id="rId60" xr:uid="{3A0FD64E-463F-4875-9DEE-6F761077F7FB}"/>
    <hyperlink ref="G51" r:id="rId61" xr:uid="{231F1BC2-2ACB-439A-A614-F2B446CBC428}"/>
    <hyperlink ref="G26" r:id="rId62" xr:uid="{2564DC8C-CF18-4BC5-AF66-2EBE5A5C5719}"/>
    <hyperlink ref="G19" r:id="rId63" xr:uid="{9F9843B5-B9D0-42BD-B5D9-B4A16F04D5FD}"/>
    <hyperlink ref="G16" r:id="rId64" display="https://www.ebay.co.uk/itm/127276020189?_skw=classic+beetle+front+brake+pads&amp;itmmeta=01KZV8KG00Y1NX9PKH9HSZ2XWK&amp;hash=item1da23df1dd:g:Y2UAAeSw239pnwiz&amp;itmprp=enc%3AAQALAAAA4GfYFPkwiKCW4ZNSs2u11xDvSKrSJS7bR6oaXGUtMPtvxrzojGJDph5H4SozuQiQDnrc%2BkGdXtNYlSUYbZkOzvwA8Z06230v5%2B8I1i64KYD6sebYuNZdOZ6fcmb0Bm8wI%2FOMaqC0JKvSAtvffdw83Ov9KVdMeGOwnhaxCyV0bKKOFIu--MgIKzX5B5BJUUZoKPSNblGhrVSpao%2FWHaza5nyOYgdDr3WpprluAUNAw%2FMivlVxgBdfYS0eHxavxKkis7Pm4hanzXlcBjA1ackId0SNzO3XkLxDNR7b3fW3%2FBpn%7Ctkp%3ABk9SR6iAzuj-Zw" xr:uid="{B84246AC-B241-4AC5-A7C7-A1CCB229DBD0}"/>
    <hyperlink ref="G17" r:id="rId65" display="https://www.ebay.co.uk/itm/134925534201?_skw=classic+beetle+front+brake+pads&amp;itmmeta=01KZV8KFZZHZEDGNNCFDFNBY4M&amp;hash=item1f6a3043f9:g:pF8AAOSwi5Vlw2ap&amp;itmprp=enc%3AAQALAAABAGfYFPkwiKCW4ZNSs2u11xC8%2FdI0T6j0%2BpsdY3rNDX88dfMulpmOQJDJSrk%2BIZnN%2BGxD56eX7wOEhk2BvdVJKs%2BaVoqEnrmyEFjDwh3tRoQLhdbocLCak6gf7FC%2BrjEJS8o%2FXK0ka1TeHuWqeUdr66pigLnf9HznynFs5Srlrwjh8LYu4OKvdt%2BH%2F5WL%2BNNUre8n5810TFjmLfH7MOpuzqcJeknjP%2B1xVw%2FtkzIjkHoSIzDGROgN%2BRW%2BQbWhF4enyqOvZ9hVly9PqYxgHu%2BacGIbHMdUhxApC82PStYJsUWlwSr0t15RaVhc0OLi64bQLTD3TLscTL5mcs0nnouLtPY%3D%7Ctkp%3ABk9SR6iAzuj-Zw" xr:uid="{9E904DC2-89D9-4372-A170-3893412C45F7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28DB55-74A4-4926-BBEA-E3B838DFB1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Barlow</dc:creator>
  <cp:keywords/>
  <dc:description/>
  <cp:lastModifiedBy>Chris Barlow</cp:lastModifiedBy>
  <cp:revision/>
  <dcterms:created xsi:type="dcterms:W3CDTF">2026-06-25T13:57:38Z</dcterms:created>
  <dcterms:modified xsi:type="dcterms:W3CDTF">2026-08-13T11:16:29Z</dcterms:modified>
  <cp:category/>
  <cp:contentStatus/>
</cp:coreProperties>
</file>